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filterPrivacy="1" codeName="ThisWorkbook" hidePivotFieldList="1"/>
  <xr:revisionPtr revIDLastSave="1790" documentId="8_{9814B301-7D00-476B-A2F6-1E0B38B215F2}" xr6:coauthVersionLast="47" xr6:coauthVersionMax="47" xr10:uidLastSave="{ADE25C92-BDAA-4B0A-97ED-3B97BEA45076}"/>
  <bookViews>
    <workbookView xWindow="-110" yWindow="-110" windowWidth="19420" windowHeight="11500" tabRatio="867" xr2:uid="{00000000-000D-0000-FFFF-FFFF00000000}"/>
  </bookViews>
  <sheets>
    <sheet name="Landing Page" sheetId="11" r:id="rId1"/>
    <sheet name="1. Changelog" sheetId="2" r:id="rId2"/>
    <sheet name="2. External_20260319" sheetId="3" r:id="rId3"/>
    <sheet name="3. Change Requests" sheetId="6" r:id="rId4"/>
    <sheet name="4. Resolved &amp; Closed KELs &amp; CRs" sheetId="13" r:id="rId5"/>
    <sheet name="Data" sheetId="12" state="hidden" r:id="rId6"/>
  </sheets>
  <externalReferences>
    <externalReference r:id="rId7"/>
  </externalReferences>
  <definedNames>
    <definedName name="_xlnm._FilterDatabase" localSheetId="2" hidden="1">'2. External_20260319'!$A$1:$G$32</definedName>
    <definedName name="_xlnm._FilterDatabase" localSheetId="3" hidden="1">'3. Change Requests'!$A$1:$G$1</definedName>
    <definedName name="_xlnm._FilterDatabase" localSheetId="5" hidden="1">Data!$A$28:$E$1746</definedName>
    <definedName name="CATEGORY">[1]Categories!$C:$C</definedName>
  </definedNames>
  <calcPr calcId="191028"/>
  <pivotCaches>
    <pivotCache cacheId="1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 l="1"/>
  <c r="L21" i="11"/>
  <c r="P21" i="11" l="1"/>
  <c r="C21" i="11"/>
  <c r="F21" i="11"/>
  <c r="F35" i="11" l="1" a="1"/>
  <c r="F35" i="11" s="1"/>
  <c r="L35" i="11" a="1"/>
  <c r="L35" i="11" s="1"/>
  <c r="I35" i="11" a="1"/>
  <c r="I35" i="11" s="1"/>
  <c r="E5" i="12" l="1"/>
  <c r="E10" i="12" l="1"/>
  <c r="E11" i="12"/>
</calcChain>
</file>

<file path=xl/sharedStrings.xml><?xml version="1.0" encoding="utf-8"?>
<sst xmlns="http://schemas.openxmlformats.org/spreadsheetml/2006/main" count="8184" uniqueCount="2706">
  <si>
    <t>251120</t>
  </si>
  <si>
    <t>Resolved and Closed KELs and CRs</t>
  </si>
  <si>
    <t>New KELs and CRs</t>
  </si>
  <si>
    <t>Reopened KELs</t>
  </si>
  <si>
    <t>Revised KELs and CRs</t>
  </si>
  <si>
    <t>Revised Fix Versions</t>
  </si>
  <si>
    <t xml:space="preserve"> Trade Test - Known Error Logs and Change Requests</t>
  </si>
  <si>
    <t>Change Log</t>
  </si>
  <si>
    <t>Version Reference</t>
  </si>
  <si>
    <t>Notes</t>
  </si>
  <si>
    <t>Date</t>
  </si>
  <si>
    <t>64,65,66,78,85,89,107,108 and 116</t>
  </si>
  <si>
    <t>-</t>
  </si>
  <si>
    <t>123,124,125,126,127,
128,129</t>
  </si>
  <si>
    <t>18,21,22,28,86,92,93,97,98,100,105,109,110,118,119,120</t>
  </si>
  <si>
    <t>132,133,134,135,136 and 137</t>
  </si>
  <si>
    <t>008</t>
  </si>
  <si>
    <t>139,140,141,142,143,144,145 and 146</t>
  </si>
  <si>
    <t>147 and 148</t>
  </si>
  <si>
    <t xml:space="preserve">149,150,151,152,153,154,155,156,157,158,159,160, 161 and 162. </t>
  </si>
  <si>
    <t>102,123,131 and 148</t>
  </si>
  <si>
    <t>163,164,165 and 166</t>
  </si>
  <si>
    <t>167,168,169,170,171,172,173 and 174</t>
  </si>
  <si>
    <t>19,23 and 26</t>
  </si>
  <si>
    <t>175,176,177,178,179 and 180</t>
  </si>
  <si>
    <t>31,32,38,46 and 48</t>
  </si>
  <si>
    <t>181,182,183,184,185,186,187,188,189 and 190</t>
  </si>
  <si>
    <t>45 and 143</t>
  </si>
  <si>
    <t>191 and 192</t>
  </si>
  <si>
    <t>193,194 and 195</t>
  </si>
  <si>
    <t>196,197,198 and 199</t>
  </si>
  <si>
    <t>63 and 69</t>
  </si>
  <si>
    <t>200,201,202,203 and 204</t>
  </si>
  <si>
    <t>205,206,207 and 208</t>
  </si>
  <si>
    <t>155 and 175</t>
  </si>
  <si>
    <r>
      <t>A new section has been added to include the unresolved '</t>
    </r>
    <r>
      <rPr>
        <i/>
        <sz val="11"/>
        <color theme="1"/>
        <rFont val="Calibri"/>
        <family val="2"/>
        <scheme val="minor"/>
      </rPr>
      <t>No Deal Specific Errors'.</t>
    </r>
    <r>
      <rPr>
        <sz val="11"/>
        <color theme="1"/>
        <rFont val="Calibri"/>
        <family val="2"/>
        <scheme val="minor"/>
      </rPr>
      <t xml:space="preserve"> These will not be experienced in the TTM8.4 configuration.</t>
    </r>
  </si>
  <si>
    <t>209,210,211,212 and 213</t>
  </si>
  <si>
    <t>Removed KEL ID 162 - it was added as a catch all KEL for D1ND.</t>
  </si>
  <si>
    <t>214,215,216,217,218,219,220, 221 &amp; 222</t>
  </si>
  <si>
    <t>52,58,68,70,72,73,74,75,87,88,90,91,106,111,121,124,125,130,132,133,136,138,140, 141, 147,152,155,156,161,167,168,170,171,172, 174, 180,181,182,184,187,188,191,193,195 and 202</t>
  </si>
  <si>
    <t>223 and 224</t>
  </si>
  <si>
    <t>213 and 221</t>
  </si>
  <si>
    <t>225,226,227,228 and 229</t>
  </si>
  <si>
    <t>77,114 and 154</t>
  </si>
  <si>
    <t xml:space="preserve">For this version of the KEL, HMRC has included planned fix dates against each known error for developers to understand whether fixes will be in place for this phase of CDS. Where a KEL has a planned fix date of “next functional release within CDS MVP”, developers can expect that the defect will be resolved and the exact trade test release will be communicated once the fix has passed internal tests. Where a KEL has a planned fix date of “post CDS MVP”, HMRC  has not yet planned a fix release. Please continue to raise any priority KEL items via your BRM during your regular catch ups. </t>
  </si>
  <si>
    <t>183,221 and 222</t>
  </si>
  <si>
    <t>94,95 and 96</t>
  </si>
  <si>
    <t>Fix version for KEL IDs 94,95 and 96 has been revised from TTM9.1 to next functional release within CDS MVP.</t>
  </si>
  <si>
    <t>230, 231, 232, 233, 234, 235, 236, 237, 238, 239, 240, 241</t>
  </si>
  <si>
    <t>032, 056, 094, 103, 104, 112, 113, 117, 122, 126, 127, 129, 134, 137, 144, 150, 151, 153, 173, 177, 214, 215, 218, 223, 227</t>
  </si>
  <si>
    <t>242, 243, 244, 245</t>
  </si>
  <si>
    <t>246, 247, 248, 249</t>
  </si>
  <si>
    <t>27, 057, 101, 145, 158, 201, 203, 213, 225, 226, 230, 231, 238, 245</t>
  </si>
  <si>
    <t>250, 251, 252, 253, 254, 255, 256, 257, 258, 259, 260, 261</t>
  </si>
  <si>
    <t>115, 185, 190</t>
  </si>
  <si>
    <t>228, 246, 248</t>
  </si>
  <si>
    <t>82, 96, 146, 164, 169, 175, 178, 179, 186, 192, 194, 196, 199, 204, 205, 206, 224, 229, 232, 236, 237, 240</t>
  </si>
  <si>
    <t>262, 263, 264</t>
  </si>
  <si>
    <t>265, 266, 267, 268, 269, 270, 271, 272, 273, 274, 275</t>
  </si>
  <si>
    <t>34, 96, 149, 176, 207, 232, 237, 240, 253, 256, 257, 258</t>
  </si>
  <si>
    <t>276, 277, 278</t>
  </si>
  <si>
    <t>228, 241</t>
  </si>
  <si>
    <t>279, 280, 281, 282, 283, 284, 285, 286, 287, 288</t>
  </si>
  <si>
    <t>95, 267, 271</t>
  </si>
  <si>
    <t>135, 243, 250, 254, 260</t>
  </si>
  <si>
    <t>289, 290, 291, 292</t>
  </si>
  <si>
    <t>263, 266</t>
  </si>
  <si>
    <t>293, 294, 295, 296, 297, 298, 299</t>
  </si>
  <si>
    <t>300, 301, 302, 303, 304, 305, 306, 307, 308, 309, 310</t>
  </si>
  <si>
    <t>82, 146, 169, 175, 178, 179, 186, 192, 194, 196, 199, 204, 205, 206, 224, 
229, 243, 250, 254, 255, 260, 263, 268, 270, 280, 282, 283, 285, 288, 297</t>
  </si>
  <si>
    <t>142, 164, 210, 236, 242, 244 255, 259, 266, 
272, 273, 281, 294, 296, 298, 306</t>
  </si>
  <si>
    <t>311, 312, 313, 314</t>
  </si>
  <si>
    <t>164, 259, 273, 295, 300, 301</t>
  </si>
  <si>
    <t>242, 310</t>
  </si>
  <si>
    <t>1.	KELs 164, 259, 273, 295 were resolved as part of TTM11.0 on 06/08/2020
2.	KELs 300, 301 were resolved as part of the hot fix which was deployed on 14/08/2020</t>
  </si>
  <si>
    <t>246, 261, 265, 278, 287, 290, 303, 310</t>
  </si>
  <si>
    <t>316, 317</t>
  </si>
  <si>
    <t>236, 313</t>
  </si>
  <si>
    <t>167, 233, 266, 274, 276, 278, 281, 290, 302</t>
  </si>
  <si>
    <t>318, 319</t>
  </si>
  <si>
    <t>261, 317</t>
  </si>
  <si>
    <t>142, 233, 242, 302</t>
  </si>
  <si>
    <t>320, 321, 322, 323, 324, 325, 326, 327, 328, 329</t>
  </si>
  <si>
    <t>189, 210, 234, 244, 262, 269, 272, 273, 275, 284, 287, 294, 296, 298, 
306, 319</t>
  </si>
  <si>
    <t>135, 157, 159, 163, 165, 166, 167, 217, 242, 265, 279, 304, 308, 310</t>
  </si>
  <si>
    <t>330, 331</t>
  </si>
  <si>
    <t>302, 324</t>
  </si>
  <si>
    <t>333, 334, 335</t>
  </si>
  <si>
    <t>167, 233, 246, 252, 274, 276, 290, 302, 307, 309, 310, 315, 320</t>
  </si>
  <si>
    <t>337, 338, 339, 340, 341, 342, 343, 344, 345, 346, 347,348, 349
CR016, CR031, CR032, CR039, CR040, CR041, CR044</t>
  </si>
  <si>
    <t>135, 157, 159, 160, 163, 165, 166, 167, 209, 217, 220, 242, 246, 247, 252, 265, 274, 276, 279, 290, 308, 321, 322, 325, 326, 327, 335</t>
  </si>
  <si>
    <t>195, 315</t>
  </si>
  <si>
    <t>300, 304, 312, 314, 320, 324, 331</t>
  </si>
  <si>
    <t xml:space="preserve">Introduction of the CR inclusion, CDS Location codes and KELs 343 to 347 for Exports Tariff discrepancies </t>
  </si>
  <si>
    <t>350, 351, 352, 353, 354
CR063, CR064, CR065, CR066</t>
  </si>
  <si>
    <t>302, 336, 339</t>
  </si>
  <si>
    <t>Added a new row KEL 305.17 for the existing KEL-305 in the May2020_ImportTariff tab</t>
  </si>
  <si>
    <t>355, 356, 357</t>
  </si>
  <si>
    <t>233, 302, 328, 330, 340, 349, 352, 353</t>
  </si>
  <si>
    <r>
      <rPr>
        <b/>
        <sz val="11"/>
        <color theme="1"/>
        <rFont val="Calibri"/>
        <family val="2"/>
        <scheme val="minor"/>
      </rPr>
      <t>No Deal Specific Errors</t>
    </r>
    <r>
      <rPr>
        <sz val="11"/>
        <color theme="1"/>
        <rFont val="Calibri"/>
        <family val="2"/>
        <scheme val="minor"/>
      </rPr>
      <t xml:space="preserve"> worksheet has been removed and those KELs were included as part of the "External_11012021" tab</t>
    </r>
  </si>
  <si>
    <t>358, 359, 360, 361, 362</t>
  </si>
  <si>
    <t>233, 304, 330, 348, 349, 352, 355, 356
CR032, CR039</t>
  </si>
  <si>
    <t>305, 340</t>
  </si>
  <si>
    <t>278, 300, 312, 314, 315, 320, 324, 331, 338, 340, 341, 357</t>
  </si>
  <si>
    <t>Renamed the May2020_ImportTariff tab to ''ImportTariff'' and added new rows from KEL 362.1 to 362.5 for the catchall KEL-362</t>
  </si>
  <si>
    <t>CR071, CR074</t>
  </si>
  <si>
    <t>266, 278, 309, 324, 336, 340, 341, 353</t>
  </si>
  <si>
    <r>
      <rPr>
        <b/>
        <sz val="11"/>
        <color theme="1"/>
        <rFont val="Calibri"/>
        <family val="2"/>
        <scheme val="minor"/>
      </rPr>
      <t>CDS Location Codes</t>
    </r>
    <r>
      <rPr>
        <sz val="11"/>
        <color theme="1"/>
        <rFont val="Calibri"/>
        <family val="2"/>
        <scheme val="minor"/>
      </rPr>
      <t xml:space="preserve"> worksheet has been removed as these location codes were delivered as part of the January release</t>
    </r>
  </si>
  <si>
    <t>210218</t>
  </si>
  <si>
    <t>363, 364, 365, 366, 367</t>
  </si>
  <si>
    <t>307, 310, 328, 329, 338, 339, 340, 342, 358, 360, 361, 362</t>
  </si>
  <si>
    <r>
      <t>Addition of new</t>
    </r>
    <r>
      <rPr>
        <b/>
        <sz val="11"/>
        <color theme="1"/>
        <rFont val="Calibri"/>
        <family val="2"/>
        <scheme val="minor"/>
      </rPr>
      <t xml:space="preserve"> Landing Page</t>
    </r>
    <r>
      <rPr>
        <sz val="11"/>
        <color theme="1"/>
        <rFont val="Calibri"/>
        <family val="2"/>
        <scheme val="minor"/>
      </rPr>
      <t xml:space="preserve">. Resolved KELs have been removed from External KEL worksheet and moved to </t>
    </r>
    <r>
      <rPr>
        <b/>
        <sz val="11"/>
        <color theme="1"/>
        <rFont val="Calibri"/>
        <family val="2"/>
        <scheme val="minor"/>
      </rPr>
      <t>Resolved KELs</t>
    </r>
    <r>
      <rPr>
        <sz val="11"/>
        <color theme="1"/>
        <rFont val="Calibri"/>
        <family val="2"/>
        <scheme val="minor"/>
      </rPr>
      <t xml:space="preserve"> worksheet</t>
    </r>
  </si>
  <si>
    <t>210301</t>
  </si>
  <si>
    <t>368, 369, 370, 371, 372, 373, 374, 375</t>
  </si>
  <si>
    <t>343, 344, 346, 347</t>
  </si>
  <si>
    <r>
      <t xml:space="preserve">HMRC has recently published Import and Export Inventory Declarations completion guidance for CDS.  KEL items 370, 371, 372, 373, 374, and 375 indicate where changes to guidance have been made, and where those changes are still awaiting implementation in the CDS system. Full details of the tariff discrepancies have been published in ‘12022021 IM and EX Inventory Procedure Codes’, ‘12022021 Guidance on C21i Completion Rule Changes v1.0’ and ‘12022021 Guidance on C21e Completion Rule Changes v1.0’ which are available in the </t>
    </r>
    <r>
      <rPr>
        <b/>
        <i/>
        <sz val="11"/>
        <color theme="1"/>
        <rFont val="Calibri"/>
        <family val="2"/>
        <scheme val="minor"/>
      </rPr>
      <t xml:space="preserve">Tariff Manual folder.  </t>
    </r>
    <r>
      <rPr>
        <i/>
        <sz val="11"/>
        <color theme="1"/>
        <rFont val="Calibri"/>
        <family val="2"/>
        <scheme val="minor"/>
      </rPr>
      <t xml:space="preserve">These documents do not reflect the requirements for MOU. </t>
    </r>
  </si>
  <si>
    <t>210316</t>
  </si>
  <si>
    <t>376, 377, 378</t>
  </si>
  <si>
    <t>208, 278, 300, 302, 312, 314, 320, 323, 333, 341, 359</t>
  </si>
  <si>
    <t>210324</t>
  </si>
  <si>
    <t xml:space="preserve">379, 380, CR_TBA </t>
  </si>
  <si>
    <t>302, 309, 315, 331, 333, 336, 357</t>
  </si>
  <si>
    <t xml:space="preserve">337, 341, 366, 367, 350 </t>
  </si>
  <si>
    <t>210330</t>
  </si>
  <si>
    <t>381, 382, 383, CR_TBA</t>
  </si>
  <si>
    <t>210414</t>
  </si>
  <si>
    <t>278, 323, 337, 341, 350,  366, 377, 378, 380</t>
  </si>
  <si>
    <t>210428</t>
  </si>
  <si>
    <t>385, 386, 387</t>
  </si>
  <si>
    <t>300, 312, 314, 341, 359, 367, 368, 377, 379, 380</t>
  </si>
  <si>
    <t>341, 351</t>
  </si>
  <si>
    <t>210510</t>
  </si>
  <si>
    <t>CR004, 388, 389, 390, 391</t>
  </si>
  <si>
    <t>CR_TBA</t>
  </si>
  <si>
    <t>210524</t>
  </si>
  <si>
    <t>320, 381, 382, 384, 386, 387</t>
  </si>
  <si>
    <t>210604</t>
  </si>
  <si>
    <t>392, 393</t>
  </si>
  <si>
    <t>220, 323, 337, 350, 366, 378, 391</t>
  </si>
  <si>
    <t>278, 320, 381, 384</t>
  </si>
  <si>
    <t>210621</t>
  </si>
  <si>
    <t>394, 395, 396</t>
  </si>
  <si>
    <t>351, 381</t>
  </si>
  <si>
    <t>210705</t>
  </si>
  <si>
    <t>397, 398</t>
  </si>
  <si>
    <t>235, 239, 351, 381, 384, 385, 395</t>
  </si>
  <si>
    <t>210722</t>
  </si>
  <si>
    <t>399, 400, 401, 402, 403</t>
  </si>
  <si>
    <t>195, 278, 394</t>
  </si>
  <si>
    <t>266, 320, 324, 353, 381, 387, 388, 390, 392</t>
  </si>
  <si>
    <t>210802</t>
  </si>
  <si>
    <t>404, 405, 406, 407</t>
  </si>
  <si>
    <t>39, 99, 212, 248, 252, 281, 354, 385, 393</t>
  </si>
  <si>
    <t>210820</t>
  </si>
  <si>
    <t>408, 409, 410</t>
  </si>
  <si>
    <t>382, 386, 388, 396</t>
  </si>
  <si>
    <t>351, 392</t>
  </si>
  <si>
    <t>210830</t>
  </si>
  <si>
    <t>411, 412, 413, 414, 415, 416, 417</t>
  </si>
  <si>
    <t>210913</t>
  </si>
  <si>
    <t>418, 419</t>
  </si>
  <si>
    <t>210927</t>
  </si>
  <si>
    <t>CR142, 420, 421, 422, 423</t>
  </si>
  <si>
    <t>CR066, 353, 387, 403</t>
  </si>
  <si>
    <t>211007</t>
  </si>
  <si>
    <t>CR144, 424, 425, 426, 427, 428, 429, 430</t>
  </si>
  <si>
    <t>CR066, 320, 324, 387, 392, 397, 399, 401, 402, 404, 408</t>
  </si>
  <si>
    <t>208, 305.16</t>
  </si>
  <si>
    <t>208, 381, 411, 412, 413, 414, 416, 417, 419</t>
  </si>
  <si>
    <t>211018</t>
  </si>
  <si>
    <t>431, 432</t>
  </si>
  <si>
    <t>211101</t>
  </si>
  <si>
    <t>409, 410, 414</t>
  </si>
  <si>
    <t>211117</t>
  </si>
  <si>
    <t>381, 409, 411,  412, 414, 416, 417, 419, 430</t>
  </si>
  <si>
    <t>211129</t>
  </si>
  <si>
    <t>353, 390, CR016, CR031, CR040, CR041, CR063, CR004</t>
  </si>
  <si>
    <t>211213</t>
  </si>
  <si>
    <t xml:space="preserve">435, 384.1, 384.2 </t>
  </si>
  <si>
    <t>24, 84, 142, 264, 318, 411, 413, 414, 431</t>
  </si>
  <si>
    <t>220120</t>
  </si>
  <si>
    <t>353, 390, 409, 412, 416, 422, 430, 431</t>
  </si>
  <si>
    <t xml:space="preserve">266, 381, 411, 413, 414, 415, 417, 419, 426, 433, 434 </t>
  </si>
  <si>
    <t>TTM17.0 Release</t>
  </si>
  <si>
    <t>220210</t>
  </si>
  <si>
    <t>CR182</t>
  </si>
  <si>
    <t>207, 364</t>
  </si>
  <si>
    <t xml:space="preserve">39, 84, 99, 197, 200, 212, 235, 239, 248, 277, 305, 351, 395, 398, 403, 419, 424, 427, 435 </t>
  </si>
  <si>
    <t>220224</t>
  </si>
  <si>
    <t>208, 264, 384, 385, 395, 405, 406</t>
  </si>
  <si>
    <t>220310</t>
  </si>
  <si>
    <t>438, 439</t>
  </si>
  <si>
    <t>24, 142, 208, 318, 405</t>
  </si>
  <si>
    <t>220330</t>
  </si>
  <si>
    <t>440, 441, 442, 443, 444, CR212, CR210</t>
  </si>
  <si>
    <t>281, 318, 354, 381, 392, 405, 418, 421, 425, 432, 436</t>
  </si>
  <si>
    <t>400, 406, 439</t>
  </si>
  <si>
    <t>TTM18.0 Release</t>
  </si>
  <si>
    <t>220407</t>
  </si>
  <si>
    <t>445, 446, 447</t>
  </si>
  <si>
    <t xml:space="preserve"> </t>
  </si>
  <si>
    <t>197, 212, 334, 415, 437, 441, 442</t>
  </si>
  <si>
    <t>Please note, KEL 369 was incorrectly labelled as 368 in the ExportTariff tab. This has now been corrected.</t>
  </si>
  <si>
    <t>220421</t>
  </si>
  <si>
    <t>417, 420</t>
  </si>
  <si>
    <t>39, 84, 99, 142, 198, 200, 235, 239, 248, 277, 293, 305, 351, 363, 376, 384, 385, 398, 400, 406, 433, 439, 440, 444, 447</t>
  </si>
  <si>
    <t>Please note, multiple KEL entries have been identified as known differences between the Paper Tariff and CDS. These will shortly be removed from the External KEL and will be tracked via the 'CDS Consolidated Workaround Document'. A known difference reference has been provided in the additional information column of affected KEL entries.</t>
  </si>
  <si>
    <t>220505</t>
  </si>
  <si>
    <t>449, 450, 451</t>
  </si>
  <si>
    <t>291, 393.1, 393.2</t>
  </si>
  <si>
    <t>424, 446</t>
  </si>
  <si>
    <t>220519</t>
  </si>
  <si>
    <t>452, 453</t>
  </si>
  <si>
    <t>332, 351, 385, 406, 445</t>
  </si>
  <si>
    <t>446, 448, 449, 450</t>
  </si>
  <si>
    <t>198, 219, 266, 286, 311, 435, 449, 450</t>
  </si>
  <si>
    <t>220601</t>
  </si>
  <si>
    <t>39, 286, 311, 384, 411, 413, 414, 415, 419, 433, 447</t>
  </si>
  <si>
    <t>220616</t>
  </si>
  <si>
    <t>455, 456</t>
  </si>
  <si>
    <t>400, 426, 434, 446, 448, 449, 450, 452, 453</t>
  </si>
  <si>
    <t>345, 383, 437, 439, 440</t>
  </si>
  <si>
    <t>TTM19.0 Release</t>
  </si>
  <si>
    <t>220630</t>
  </si>
  <si>
    <t>457, 458, 459</t>
  </si>
  <si>
    <t>24, 334, 441, 442</t>
  </si>
  <si>
    <t>In order to streamline this document and simplify the tracking of issues, this is the last version of the KEL which will include several KEL entries that have been identified as misalignments - within the External, ImportTariff and ExportTariff tabs. Please continue to track these issues via the 'CDS Consolidated Workaround Document' from the HMRC Developer Hub, using the Known Difference ID noted in the ‘Additional Information’ column of each KEL entry.</t>
  </si>
  <si>
    <t>220714</t>
  </si>
  <si>
    <t>311, 454, 456, 459</t>
  </si>
  <si>
    <t>KEL IDs 39, 208, 235, 248, 286, 345, 372, 373, 384, 395, 398, 427, 437 and 439 from the 'External_220714' tab and 305.1, 305.5, 305.8-305.17, 407, 423, 428 and 429 from the 'ImportTariff' tab have been removed from this KEL document, in line with the note above. Please continue to track these issues via the 'CDS Consolidated Workaround Document' from the Developer Hub.</t>
  </si>
  <si>
    <t>220728</t>
  </si>
  <si>
    <t>461, SCP_CR044</t>
  </si>
  <si>
    <t>311, 454, 456, 457, 459</t>
  </si>
  <si>
    <t>334, 440, 441, 460</t>
  </si>
  <si>
    <t>220818</t>
  </si>
  <si>
    <t>462, 463, 464, 465, 466, 467, 468, 469, SCP_CR058</t>
  </si>
  <si>
    <t>212, 316, 344, 346, 370, 371, 373, 376, 424, 439, 460</t>
  </si>
  <si>
    <t>084, 197, 239, 289, 344, 346, 370, 371, 435, 440, 443, 460</t>
  </si>
  <si>
    <t>As per the changelog note from 14/07/2022, please note that KELs 373 (KD88) and 439 (KD66) have been resolved via a BAU package, further details of this can be found in the CDS Consolidated Workarounds document.
Please note that additional information has been added to the following KELs: 084, 197, 289, 443</t>
  </si>
  <si>
    <t>220901</t>
  </si>
  <si>
    <t>SCP_CR065, SCP_CR073</t>
  </si>
  <si>
    <t>197, 200, 277, 305</t>
  </si>
  <si>
    <t>142, 219, 293, 363, 365, 383, 444, 465, 466, 469</t>
  </si>
  <si>
    <t>220915</t>
  </si>
  <si>
    <t>220929</t>
  </si>
  <si>
    <t>471, 472</t>
  </si>
  <si>
    <t>305.6, 305.7, 383, 369.1, 369.5, 369.11, 369.12, 469, SCP_CR044, CR064, CR065/CR147</t>
  </si>
  <si>
    <t>CR044, CR071</t>
  </si>
  <si>
    <t>Please note that KELs 384.1, 384.2 have been moved from the ExportTariff tab to the External_220929 tab.</t>
  </si>
  <si>
    <t>221013</t>
  </si>
  <si>
    <t>473, 474, 475</t>
  </si>
  <si>
    <t>198, 219, 239, 266, 293, 305.2, 305.3, 305.4, 363, 369.2, 369.3, 369.4, 369.6, 369.7, 369.8, 369.9, 375, 440, 444, 455, 458</t>
  </si>
  <si>
    <t>Please note that KELs 369.2, 369.3, 369.4, 369.6, 369.7, 369.8, 369.9 have been moved from the ExportTariff tab to the External_221013 tab and the ExportTariff tab has now been closed.
Please note that KELs 305.2, 305.3, 305.4 have been moved from the ImportTariff tab to the External_221013 tab and the ImportTariff tab has now been closed.</t>
  </si>
  <si>
    <t>221027</t>
  </si>
  <si>
    <t>099, 441, 442, 451</t>
  </si>
  <si>
    <t>KEL 447 was resolved as part of CDS 3.7.1 (30/07)</t>
  </si>
  <si>
    <t>221110</t>
  </si>
  <si>
    <t>024, 084, 347, 369, 369.2, 369.3, 369.4, 369.6, 369.7, 369.8, 369.9, 374, 375, 389, 413, 419, 438, 473</t>
  </si>
  <si>
    <t>221124</t>
  </si>
  <si>
    <t>477, 478, 479, 480</t>
  </si>
  <si>
    <t>293, 375, 369, 471</t>
  </si>
  <si>
    <t>221214</t>
  </si>
  <si>
    <t>481, 482, 483, 484</t>
  </si>
  <si>
    <t xml:space="preserve"> 099, 441, 442, 451, 468, 471, 476, 480, 483</t>
  </si>
  <si>
    <t>369.2, 369.4, 369.6, 369.8, 369.9, 440</t>
  </si>
  <si>
    <t xml:space="preserve"> Please note that KEL 395 (KD85) has also been resolved, further details of this can be found in the CDS Consolidated Workarounds document as per the changelog note from 14/07/2022.</t>
  </si>
  <si>
    <t>221220</t>
  </si>
  <si>
    <t>485, 486, 487</t>
  </si>
  <si>
    <t>435, 440</t>
  </si>
  <si>
    <t>230105</t>
  </si>
  <si>
    <t>488, 489</t>
  </si>
  <si>
    <t>467, 444</t>
  </si>
  <si>
    <t>266, 463, 475, 481</t>
  </si>
  <si>
    <t>230112</t>
  </si>
  <si>
    <t>SCP_CR091, 490, 491, 492, 493, 494</t>
  </si>
  <si>
    <t>463, 481</t>
  </si>
  <si>
    <t>230119</t>
  </si>
  <si>
    <t>495, 496, 497</t>
  </si>
  <si>
    <t>475, 491</t>
  </si>
  <si>
    <t>482, SCP_CR065, SCP_CR091</t>
  </si>
  <si>
    <t>Please note this version of KEL was uploaded to the Developer Hub following the TTM 21.0.3 release.</t>
  </si>
  <si>
    <t>230202</t>
  </si>
  <si>
    <t>230222</t>
  </si>
  <si>
    <t>499, 500, 501, 502, 503,  506</t>
  </si>
  <si>
    <t>369.3, 463, 481, 498, 504, 505, SCP_CR065, SCP_CR091</t>
  </si>
  <si>
    <t>Please note that KEL 504 is related to KEL 491. This version of the KEL was uploaded to the Developer Hub following the TTM 21.1.1  release.</t>
  </si>
  <si>
    <t>230302</t>
  </si>
  <si>
    <t>465, 470, 473, 477, 484, 494, 500</t>
  </si>
  <si>
    <t>230316</t>
  </si>
  <si>
    <t>SCP_CR120, 508, 509, 510, 511</t>
  </si>
  <si>
    <t>293, 369.2, 369.7, 369.8, 369.9, 375, 465, 473, 486, 488, 492, 494, 497, 500</t>
  </si>
  <si>
    <t>470, 477, 496, 501, 502, 503</t>
  </si>
  <si>
    <t>230331</t>
  </si>
  <si>
    <t>512, 513, 514, 515, 516</t>
  </si>
  <si>
    <t>142, 455</t>
  </si>
  <si>
    <t>198, 219, 239, 363, 369.4, 369.6, 458</t>
  </si>
  <si>
    <t>230413</t>
  </si>
  <si>
    <t>517, 518</t>
  </si>
  <si>
    <t>470, 477, 496, 501, 502, 503, 506</t>
  </si>
  <si>
    <t>Please note that KEL 477 will be fixed incrementally based on further testing.</t>
  </si>
  <si>
    <t>230420</t>
  </si>
  <si>
    <t>519, 520, 521</t>
  </si>
  <si>
    <t>464, 466, 484, 490, 493, 495, 509, 514</t>
  </si>
  <si>
    <t>230427</t>
  </si>
  <si>
    <t>084, 289, 409, 415, 433</t>
  </si>
  <si>
    <t>230511</t>
  </si>
  <si>
    <t>230525</t>
  </si>
  <si>
    <t>522, 523, 524, 525, 526, 527, 528, 529, SCP_CR119, SCP_CR131</t>
  </si>
  <si>
    <t>530, 531, 532, 533, 534, 535, 536</t>
  </si>
  <si>
    <t>537, 538, 539</t>
  </si>
  <si>
    <t>458, 464, 466, 484, 493, 495, 509, 511, 513, 514, 515, 519, 520, 525, 526, 527, 531</t>
  </si>
  <si>
    <t>540, 541</t>
  </si>
  <si>
    <t>522, 529, 533</t>
  </si>
  <si>
    <t>Please note that KEL 540 is a recurrence of KEL 503 &amp; KEL 527.</t>
  </si>
  <si>
    <t>542, 543, 544, 545</t>
  </si>
  <si>
    <t>472, 522, 529, 533</t>
  </si>
  <si>
    <t>546, 547, 548</t>
  </si>
  <si>
    <t>472, 522, 529, 533, 540</t>
  </si>
  <si>
    <t>537, 543</t>
  </si>
  <si>
    <t>549, SCP_CR084, SCP_CR132, SCP_CR135</t>
  </si>
  <si>
    <t>537, 543, 547</t>
  </si>
  <si>
    <t>551, 552, 553</t>
  </si>
  <si>
    <t>SCP_CR120</t>
  </si>
  <si>
    <t>516, 524, 532, 534, 538, 541, 545</t>
  </si>
  <si>
    <t>516, 524, 538, 541, 545, 549</t>
  </si>
  <si>
    <t>556, 557, 558, 559</t>
  </si>
  <si>
    <t>305.4, 516, 524, 534, 538, 541, 545, 549</t>
  </si>
  <si>
    <t>411, 414, 478, 530, 544</t>
  </si>
  <si>
    <t>600, 601</t>
  </si>
  <si>
    <t>541, 549</t>
  </si>
  <si>
    <t>Please note that KELs 541 and 549 were reopened on 28/09/2023 and are scheduled to be resolved later this year.</t>
  </si>
  <si>
    <t>602, 603, 604</t>
  </si>
  <si>
    <t>605, 606, 607, 608</t>
  </si>
  <si>
    <t>521, 603</t>
  </si>
  <si>
    <t>Please note that the desription of KEL 603 has been updated.</t>
  </si>
  <si>
    <t>609, 610</t>
  </si>
  <si>
    <t>Please note that KEL 550 has been closed as it is a duplicate of KEL 557.</t>
  </si>
  <si>
    <t>611, 612</t>
  </si>
  <si>
    <t xml:space="preserve"> 374, 499, 507, 605</t>
  </si>
  <si>
    <t>384.1, 462, 474, 544</t>
  </si>
  <si>
    <t>541, 542, 549, 602</t>
  </si>
  <si>
    <t>SCP_CR296</t>
  </si>
  <si>
    <t>530, SCP_CR131</t>
  </si>
  <si>
    <t>SCP_CR084, 612</t>
  </si>
  <si>
    <t>SCP_CR084</t>
  </si>
  <si>
    <t>SCP_CR303, 614</t>
  </si>
  <si>
    <t xml:space="preserve">532, 556, 604, 607, SCP_CR084 </t>
  </si>
  <si>
    <t>615, 616</t>
  </si>
  <si>
    <t>Please note that additional information has been added to the KEL 524 entry.</t>
  </si>
  <si>
    <t>438, 536, 558, 615, 617</t>
  </si>
  <si>
    <t>438, 536, 558, 615</t>
  </si>
  <si>
    <t>532, 535</t>
  </si>
  <si>
    <t>619, 620</t>
  </si>
  <si>
    <t>621, 622</t>
  </si>
  <si>
    <t>556, 604, 614, 619</t>
  </si>
  <si>
    <t>623, 624</t>
  </si>
  <si>
    <t>557, 604, 607, 618</t>
  </si>
  <si>
    <t>334 389</t>
  </si>
  <si>
    <t>616, 618, 624</t>
  </si>
  <si>
    <t>532, 557, 604, 607, 618, 624</t>
  </si>
  <si>
    <t>532, 601, 610, 613, 623, SCP_CR303</t>
  </si>
  <si>
    <t>601, 610, 613, 623</t>
  </si>
  <si>
    <t>627, 628, 629</t>
  </si>
  <si>
    <t>SCP_CR303, SCP_CR296, 512, 517, 523, 528, 530, 532, 535, 548, 552, 553, 556, 557, 558, 604, 606, 607, 616, 631, 624, 626</t>
  </si>
  <si>
    <t>443, SCP_CR132</t>
  </si>
  <si>
    <t>633, 634</t>
  </si>
  <si>
    <t>628, 630</t>
  </si>
  <si>
    <r>
      <t xml:space="preserve">635, </t>
    </r>
    <r>
      <rPr>
        <sz val="11"/>
        <rFont val="Calibri"/>
        <family val="2"/>
        <scheme val="minor"/>
      </rPr>
      <t>636</t>
    </r>
    <r>
      <rPr>
        <sz val="11"/>
        <color theme="1"/>
        <rFont val="Calibri"/>
        <family val="2"/>
        <scheme val="minor"/>
      </rPr>
      <t xml:space="preserve">, </t>
    </r>
    <r>
      <rPr>
        <sz val="11"/>
        <rFont val="Calibri"/>
        <family val="2"/>
        <scheme val="minor"/>
      </rPr>
      <t>637</t>
    </r>
    <r>
      <rPr>
        <sz val="11"/>
        <color theme="1"/>
        <rFont val="Calibri"/>
        <family val="2"/>
        <scheme val="minor"/>
      </rPr>
      <t>, 638</t>
    </r>
  </si>
  <si>
    <t>443, 621, 628, 630, SCP_CR132</t>
  </si>
  <si>
    <t>632, 633, 634, 635</t>
  </si>
  <si>
    <t>241004</t>
  </si>
  <si>
    <t>639, 640, 641</t>
  </si>
  <si>
    <t>633, 635</t>
  </si>
  <si>
    <t>241016</t>
  </si>
  <si>
    <t>642, 643</t>
  </si>
  <si>
    <t>241023</t>
  </si>
  <si>
    <t>644, 645, 646</t>
  </si>
  <si>
    <t>241031</t>
  </si>
  <si>
    <t>241114</t>
  </si>
  <si>
    <t>241128</t>
  </si>
  <si>
    <t>629, 636, 637, 638</t>
  </si>
  <si>
    <t>241212</t>
  </si>
  <si>
    <t>241217</t>
  </si>
  <si>
    <t>250109</t>
  </si>
  <si>
    <t>250123</t>
  </si>
  <si>
    <t>250220</t>
  </si>
  <si>
    <t>250306</t>
  </si>
  <si>
    <t>649, 650</t>
  </si>
  <si>
    <t>559, 644</t>
  </si>
  <si>
    <t xml:space="preserve">KEL ID column on Externals Tab amended to reflect KEL ID 644 </t>
  </si>
  <si>
    <t>250320</t>
  </si>
  <si>
    <t>555, 645, 646</t>
  </si>
  <si>
    <t>250403</t>
  </si>
  <si>
    <t>SCP480, CR045, CR247, CR350, SCP096, SCP119, SCP001, SCP002, SCP038, SCP082, SCP124, SCP347b, SCP380, SCP418, SCP419, SCP479, CDSCR-120, CDSCR-88, CDSCR-60</t>
  </si>
  <si>
    <t xml:space="preserve">369.4, 384.2, 485,489, 461, SCP_CR058 </t>
  </si>
  <si>
    <t>CR084</t>
  </si>
  <si>
    <t>KEL 461: The issue was reported in this KEL is due to use of the badge workaround by CSPs. Further use of the badge workaround after CDS migration, with the associated gaps in functionality this provides, is at the discretion of the CSPs and no changes will be made to CDS on this matter</t>
  </si>
  <si>
    <t>250417</t>
  </si>
  <si>
    <t>250515</t>
  </si>
  <si>
    <t>KEL 489 re opened 08/05/25</t>
  </si>
  <si>
    <t>250529</t>
  </si>
  <si>
    <t>653, 654</t>
  </si>
  <si>
    <t>250605</t>
  </si>
  <si>
    <t>627, 489, 555, 646, 369.6, 305.2, 305.3</t>
  </si>
  <si>
    <t>KELs 305.2, 305.3 and 369.6 has been coverted to KD, updated on CWD Doc.</t>
  </si>
  <si>
    <t>250612</t>
  </si>
  <si>
    <t>Issue is being reviewed</t>
  </si>
  <si>
    <t>250617</t>
  </si>
  <si>
    <t>SCP470, CR084, CR247, CR350, SCP096</t>
  </si>
  <si>
    <t>SCP470</t>
  </si>
  <si>
    <t>CR045 revised to SCP470. 5 CRs Delivered in CDS 4.8.0 on 14/06/2025</t>
  </si>
  <si>
    <t>250626</t>
  </si>
  <si>
    <t>609, 644, SCP124, SCP418, SCP419, SCP479</t>
  </si>
  <si>
    <t>650, 647</t>
  </si>
  <si>
    <t>KEL 609 completed with release 4.5.0
SCP124, SCP418, SCP419 and SCP479 delivered in CDS 4.8.0 on 14/06/2025</t>
  </si>
  <si>
    <t>250710</t>
  </si>
  <si>
    <t>655, 656</t>
  </si>
  <si>
    <t>347, SCP119</t>
  </si>
  <si>
    <t>SCP119 Resolved with Release 4.8.0</t>
  </si>
  <si>
    <t>250724</t>
  </si>
  <si>
    <t>250807</t>
  </si>
  <si>
    <t>650, CR 12, CR071, SCP_CR073, CR074,  SCP082, SCP_CR120, 419, CR210</t>
  </si>
  <si>
    <t>637, 655</t>
  </si>
  <si>
    <t>250821</t>
  </si>
  <si>
    <t>CR144, 651, 518, 612</t>
  </si>
  <si>
    <t>KEL 651 now tracked under 
KD367, KEL 612 now tracked under SCP002</t>
  </si>
  <si>
    <t>250904</t>
  </si>
  <si>
    <t>250918</t>
  </si>
  <si>
    <t>658, 659, 660</t>
  </si>
  <si>
    <t>600, SCP038, 637, 645</t>
  </si>
  <si>
    <t>251009</t>
  </si>
  <si>
    <t>SCP_CR119, CR212</t>
  </si>
  <si>
    <t>251030</t>
  </si>
  <si>
    <t>640, 655, 659</t>
  </si>
  <si>
    <t>CDSTT ID</t>
  </si>
  <si>
    <t>CR Reference</t>
  </si>
  <si>
    <t>Classification</t>
  </si>
  <si>
    <t>Description</t>
  </si>
  <si>
    <t>Workaround</t>
  </si>
  <si>
    <r>
      <t xml:space="preserve">Status and planned fix date
</t>
    </r>
    <r>
      <rPr>
        <i/>
        <sz val="11"/>
        <color theme="0"/>
        <rFont val="Calibri"/>
        <family val="2"/>
        <scheme val="minor"/>
      </rPr>
      <t>Please note - the fixed dates outlined in this document are tentative only and are subject to passing successful testing. In addition, dates may change due to the inclusion of Change Requests which may be higher priority. The dates are reviewed on a regular basis, and therefore may change with each CDS Functional Release. Some Change Requests do not currently have planned fixed dates due to ongoing priority discussions. Please monitor this column to view any changes</t>
    </r>
    <r>
      <rPr>
        <b/>
        <sz val="11"/>
        <color theme="0"/>
        <rFont val="Calibri"/>
        <family val="2"/>
        <scheme val="minor"/>
      </rPr>
      <t xml:space="preserve">
</t>
    </r>
  </si>
  <si>
    <t>CDSTT-1684</t>
  </si>
  <si>
    <t>CR016</t>
  </si>
  <si>
    <t>Inventory Linking Exports</t>
  </si>
  <si>
    <r>
      <t xml:space="preserve">Currently, CSE and RoRo </t>
    </r>
    <r>
      <rPr>
        <strike/>
        <sz val="11"/>
        <rFont val="Calibri"/>
        <family val="2"/>
        <scheme val="minor"/>
      </rPr>
      <t>Traders</t>
    </r>
    <r>
      <rPr>
        <strike/>
        <sz val="11"/>
        <color theme="1"/>
        <rFont val="Calibri"/>
        <family val="2"/>
        <scheme val="minor"/>
      </rPr>
      <t xml:space="preserve"> must create a new DUCR after an arrived declaration has been rejected for inland "arrived" submissions, as is currently allowed for pre-lodged declarations. A Change Request is being progressed to enable Traders to re-submit using the same DUCR. A rejected Frontier declaration currently is allowed to retain the initial DUCR, so this will bring parity to all types of declarations for Exports. </t>
    </r>
  </si>
  <si>
    <t xml:space="preserve">The workaround is to create a new DUCR each time a declaration is rejected. </t>
  </si>
  <si>
    <t>Delivered on 22/07/2021</t>
  </si>
  <si>
    <t>CDSTT-1969
CDSTT-1638</t>
  </si>
  <si>
    <t>CR031</t>
  </si>
  <si>
    <t>It is currently possible for an UCR to be associated/disassociated from a MUCR that has already been closed in CDS, which poses a concern that third parties could associate/disassociate an UCR from a MUCR without CSPs knowledge. A Change Request is being progressed to restrict the ability to associate a UCR to arrived and closed MUCRs to certain actors, including HMRC.</t>
  </si>
  <si>
    <t>None</t>
  </si>
  <si>
    <t>Delivered on 22/07/2022</t>
  </si>
  <si>
    <t xml:space="preserve">CDSTT-1986
CDSTT-2102
CDSTT-2053
</t>
  </si>
  <si>
    <t>CR032</t>
  </si>
  <si>
    <t>CDS Reference Data</t>
  </si>
  <si>
    <t>Numerous CHIEF freight locations codes have been identified as being missing from the CDS Reference Data. These missing codes will be uploaded to CDS, with a first drop in December for 11 critical NI locations, and additional oustanding codes will be added in January. The additional codes can be found in the 'CDS Location Codes' tab in the External KEL.</t>
  </si>
  <si>
    <t>Further codes anticipated for delivery in January 2021</t>
  </si>
  <si>
    <t>CDSTT-1711</t>
  </si>
  <si>
    <t>CR039</t>
  </si>
  <si>
    <t>When an arrival of a MUCR is made to CDS, and the MUCR exists only on CHIEF, an incorrect status is returned which prevents the MUCR from being departed without manual intervention. The Change Request will ensure successful departure of MUCR consignments.</t>
  </si>
  <si>
    <t>Delivered in February 2021</t>
  </si>
  <si>
    <t>CDSTT-1712</t>
  </si>
  <si>
    <t>CR040</t>
  </si>
  <si>
    <r>
      <t>Currently, UCR is not returned in UKCTRL responses for certain</t>
    </r>
    <r>
      <rPr>
        <strike/>
        <sz val="11"/>
        <color rgb="FFFF0000"/>
        <rFont val="Calibri"/>
        <family val="2"/>
        <scheme val="minor"/>
      </rPr>
      <t xml:space="preserve"> </t>
    </r>
    <r>
      <rPr>
        <strike/>
        <sz val="11"/>
        <rFont val="Calibri"/>
        <family val="2"/>
        <scheme val="minor"/>
      </rPr>
      <t>functions</t>
    </r>
    <r>
      <rPr>
        <strike/>
        <sz val="11"/>
        <color theme="1"/>
        <rFont val="Calibri"/>
        <family val="2"/>
        <scheme val="minor"/>
      </rPr>
      <t xml:space="preserve"> relating to a CHIEF UCR which prevents the linking of success/failure notifications for consolidations, shut MUCRs, or departures. A Change Request is being progressed to fix this, so that the UCR is returned in all UKCTRL responses.</t>
    </r>
  </si>
  <si>
    <t>Delivered on 18/02/2021</t>
  </si>
  <si>
    <t>CDSTT-1707
CDSTT-1713</t>
  </si>
  <si>
    <t>CR041</t>
  </si>
  <si>
    <t>Current CDS implementation means that CSPs must arrive consignments at the highest level UCR (MUCR), otherwise the arrival will be rejected. A Change Request is being progressed to ensure the ability to arrive consigments at DUCR level, as is currently possible in CHIEF. This is especially important to DEPs.</t>
  </si>
  <si>
    <t>CDSTT-2464</t>
  </si>
  <si>
    <t xml:space="preserve">REJ instead of ACC </t>
  </si>
  <si>
    <t>System functionality is currently preventing the correct declaration of Controlled Drugs on a type Y supplementary declaration. A future release will permit status codes IA and JA to be used with document code 9114, at which point the goods can be declared in line with the CDS Tariff completion requirements, including use of DE 1/11 code 1CD. As a temporary workaround please complete document code 9114 with status code XW and the reason as "Licence produced with SFD". Also, please omit DE 1/11 code 1CD.</t>
  </si>
  <si>
    <t>Delivered on 28/04/2021</t>
  </si>
  <si>
    <t>CDSTT-2492</t>
  </si>
  <si>
    <t>CDS is currently applying incorrect validation when DE 1/11 code 1CG is declared. Until this is resolved, please do not use DE 1/11 code 1CG. If there are no other additional procedure codes applicable, then just use DE 1/11 code 000.</t>
  </si>
  <si>
    <t>CDSTT-2244</t>
  </si>
  <si>
    <t>CR004.1</t>
  </si>
  <si>
    <t>Pointers / Notification Messages</t>
  </si>
  <si>
    <t>The current CCG workaround calls for both Guarantee Reference and Other Guarantee Reference to be populated. However, this is not enforced by CDS validation, so when the workaround requirements aren't met, the declaration is accepted (DMSACC) but there is a validation failure in the back-end Finance components of CDS leading to a "no notifications" scenario (missing DMSTAX and DMSCPI notifications). Equally, if the GAN is entered into Other Guarantee Reference rather than Guarantee Reference, similar behaviour is observed.</t>
  </si>
  <si>
    <t>CR004.2</t>
  </si>
  <si>
    <t>The GAN validation failure is an example of a wider "no notifications" scenario, where a declaration passes front-end validation and is Accepted, but still has the potential to trigger an unforeseen validation failure against a back-end CDS component (eg Finance or Tariff) which stops processing. Where we see a reoccurring error we will consider enhancing front-end validation to trap it, but there will inevitably been unpredictable failures. The declaration has already been accepted (DMSACC received) so it is too late to Reject with a DMSREJ, but we plan to introduce functionality to close these declarations tidily and send a response directing the trader to the helpdesk for further assistance (as we do with CHIEF in similar circumstances). Until then, instances of "no notifications" may still be experienced. The trader will ultimately need to resubmit a corrected declaration.</t>
  </si>
  <si>
    <t>CDSTT-2445</t>
  </si>
  <si>
    <t>CR142</t>
  </si>
  <si>
    <t>This CR addresses the additional information included with the DMSRCV sent back for inventory linking consignments. In the current Declaration Submission Service Design Document, the DMSRCV ‘Additional Information’ object will contain: StatementDescription, StatementCode, and StatementTypeCode. StatementTypeCode contains the type of code that is returned in StatementCode and is currently always "1“, meaning ”General Validation Result.” In cases such as inventory-mismatched consignments, the statement type code may not clearly define the statement code; this may cause confusion on what corrective action to take. 
A change has been requested to create a new StatementTypeCode to denote "inventory return code." The new statement type code will act as a 'qualifier' for the statement code, ensuring that the statement is relating to the Inventory Return Code</t>
  </si>
  <si>
    <t>Subject to prioritisation</t>
  </si>
  <si>
    <t>CDSTT-2690</t>
  </si>
  <si>
    <t>This CR addresses the DMSTAX response returned to a trader for Partial Quota Allocation Processing for a critical quota. When a trader submits a claim to quota that exceeds the available amount remaining in the quota, the trader may receive a partial quota allocation. Part of the quota request will be granted the "in-quota" duty rate and the rest will receive the "out of quota" (non-preferential) rate. Currently, DMSTAX Current Quota Processing creates additional Goods Items for the share of the original Goods Item that does not qualify as "in quota" in the DMSTAX response. This results in a trader receiving two Goods Items in the response; one for "in-quota" allocation and one for "out of quota" allocation. A change has been requested to group "in-quota" and "out of quota" allocations together under the original Goods Item in the DMSTAX response.</t>
  </si>
  <si>
    <t>CDSTT-2761</t>
  </si>
  <si>
    <t>SCP_CR058</t>
  </si>
  <si>
    <t>This CR addresses the request to send DMSCPR earlier/immediately (with DMSTAX if immediately) for all immediate payment scenarios.</t>
  </si>
  <si>
    <t>Not Applicable</t>
  </si>
  <si>
    <t>Item withdrawn- can be removed from list.</t>
  </si>
  <si>
    <t>N/A</t>
  </si>
  <si>
    <t>SCP_CR131</t>
  </si>
  <si>
    <t>Currently, when goods under the same DUCR, have moved from location A to B, and a risk rule has generated at location B, the ERS is sent to both locations despite the fact that there are no longer any goods at location A. A change is required so that ERS messages are only sent to the location where the goods were last arrived (location B in this scenario). </t>
  </si>
  <si>
    <t xml:space="preserve">No workaround, however, should the inventory system update the record at location A with a new timestamp (taken from the latest ERS) the location will not be held accountable. This has been ratified by Policy. </t>
  </si>
  <si>
    <t>SCP_CR135</t>
  </si>
  <si>
    <t>Exports</t>
  </si>
  <si>
    <t>1) During times of high volume, some CDA responses may be placed in a queue for later delivery. Currently, should this occur, an alert is generated based on a threshold of &gt;0 messages however manual intervention is required to release the message. A change is required to automate this message release process.
2) On occasion, Exports inventory linked movement response messages may be delivered in an incorrect order. A change is required to ensure these messages contains a means by which the correct order can be identified in such scenario.</t>
  </si>
  <si>
    <t>CDSCR-120</t>
  </si>
  <si>
    <t xml:space="preserve">Traders notified when risk rule triggered on export re-arrival
 If an original arrived export declaration does not trigger a risk rule, but the goods are then re-arrived and the re-arrived movement does trigger a risk rule CDS will send the case to risk and will mark the movement as controlled stopping it from being exported, but it will not:
Change DMS, so the declaration still shows to operations as being cleared and able to be exported
Send a notification to the submitter notifying them that a control has been triggered.
As such neither operations nor the declarant will know the declaration has triggered a control, causing delays and confusion. 
</t>
  </si>
  <si>
    <t>None. The customer has to be notified by the port/CSP that their is a control, they must then ring HMRC who must look in CDCM to then find it and support.</t>
  </si>
  <si>
    <t>CDSCR-88</t>
  </si>
  <si>
    <t>SCP480</t>
  </si>
  <si>
    <t>Ability to re-use a CHED where declaration has been invalidated.
A ALVS/CERTEX notification is moved to Resolved-Completed once all actions have been complete either due to automatic approval or manual action in CDCM case.
If either the trader/HMRC or an OGD then invalidates the declaration after the ALVS/CERTEX notification is set as Resolved-Completed the declaration is invalidated in DMS, but the ALVS/CERTEX notification is left as Resolved-Completed.</t>
  </si>
  <si>
    <t>CDSCR-60</t>
  </si>
  <si>
    <t>CDS to prevent zero quantity in 2/3 where a DIT/RPA licence is being used.
The Import Licence Management System (ILMS) component of the Customs Declaration Service (CDS) is unable to validate licence information where traders enter a zero as a quantity in the eighth component of DE 2/3 (Documents produced) in the Declaration Management Service (DMS).</t>
  </si>
  <si>
    <t xml:space="preserve">Trader will need to contact HMRC and will require operational and live service involvement delaying movement of goods. Raised as a key issue under BTOM. </t>
  </si>
  <si>
    <t>CDSP-10582</t>
  </si>
  <si>
    <t>SCP001</t>
  </si>
  <si>
    <t>Allow traders to change MOP where there is insufficient balance in selected MOP to cover duty or no MOP ​initially selected where duty is due. 
Traders are unable amend their MOP meaning if they need an amendment they have to manually contact HMRC to invalidate the original declaration, re-submit a new declaration &amp; contact HMRC to release goods, driving contact with HMRC.</t>
  </si>
  <si>
    <t>PO confirmed there is no workaround as the system is by default automatically insisting on immediate payment.</t>
  </si>
  <si>
    <t>FY24 – Tech Discovery Only</t>
  </si>
  <si>
    <t>BARM-574</t>
  </si>
  <si>
    <t>SCP002</t>
  </si>
  <si>
    <t>Ability to amend a rejected declaration 
Traders are not able to edit fields that caused a declaration to be rejected therefore must submit a full new declaration. Inventory references used on the declarations cannot be duplicated so traders must contact HMRC to arrange for the goods to be released</t>
  </si>
  <si>
    <t>No workaround – traders need to submit new declarations if declarations are rejected.</t>
  </si>
  <si>
    <t>CDSP-10069</t>
  </si>
  <si>
    <t>SCP347b</t>
  </si>
  <si>
    <t>Country of origin features: Stage 2 &amp; 3 (Strategic)
Traders do not have the functionality to input both a country code in origin and a group country code in preferential origin so we are not accurately logging/declaring preference claims against the appropriate group country code and trade will be unable to use the CPTPP Free Trade Agreement</t>
  </si>
  <si>
    <t>Traders are informed to ignore the legal rules for completion to ensure their declaration is processed whereby the trader puts their specific country code in instead. This works as currently we have no countries who have both a bilateral and group trade agreement.</t>
  </si>
  <si>
    <t>SCP380</t>
  </si>
  <si>
    <t>Duplicated VAT on PVA statements
Currently where a trader is claiming quota and using Postponed VAT Accounting (PVA) , the amount of PVA being claimed is duplicated as currently the legal &amp; mandate document sent to the trade contains the incorrect amount</t>
  </si>
  <si>
    <t>KEL ID</t>
  </si>
  <si>
    <t>Current Workaround</t>
  </si>
  <si>
    <r>
      <t xml:space="preserve">Planned fix date
</t>
    </r>
    <r>
      <rPr>
        <i/>
        <sz val="10"/>
        <color theme="0"/>
        <rFont val="Calibri"/>
        <family val="2"/>
        <scheme val="minor"/>
      </rPr>
      <t>Please note -  The fixed dates outlined in this document are tentative only and are subject to passing successful testing. In addition, dates may change due to the inclusion of Known Errors which may be higher priority. The dates are reviewed on a regular basis, and therefore may change with each CDS Functional Release. Some Known Errors do not currently have planned fixed dates due to ongoing priority discussions. Please monitor this column to view any changes.</t>
    </r>
  </si>
  <si>
    <t>Raised as an external priority KEL?</t>
  </si>
  <si>
    <t>Additional Information</t>
  </si>
  <si>
    <t>Where a declaration is submitted with both invalid supplementary units and an incorrect tax base unit value, the declaration will be correctly rejected but DMSREJ will only contain an error message regarding missing supplementary unit value.</t>
  </si>
  <si>
    <t>Until this issue is resolved, traders should be aware that where a declaration is submitted with both invalid supplementary units and an incorrect tax base unit value, the resulting DMSREJ will only contain an error message regarding missing supplementary unit value.</t>
  </si>
  <si>
    <t>Delivery impact being investigated</t>
  </si>
  <si>
    <t>DMSREJ will appear as follows:
&lt;_2_1:AdditionalInformation&gt; 
&lt;_2_1:StatementDescription&gt;Missing supplementary unit value&lt;/_2_1:StatementDescription&gt;
&lt;_2_1:StatementTypeCode&gt;3&lt;/_2_1:StatementTypeCode&gt;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&lt;_2_1:Error&gt;
&lt;_2_1:ValidationCode&gt;TMSV0011&lt;/_2_1:ValidationCode&gt;
&lt;/_2_1:Error&gt;</t>
  </si>
  <si>
    <t>Calculation</t>
  </si>
  <si>
    <t>Though Preference country group codes are UCC compliant and are in line with the Paper Tariff guidance acceptable entries in DE 5/16, there are a few system constraints in CDS that will not allow these codes to be entered currently. Until the change is made, CDS will not accept those codes. During this time, please ensure you enter a country code in DE 5/16</t>
  </si>
  <si>
    <t>Until resolution, declarants must enter the appropriate country code in DE 5/16</t>
  </si>
  <si>
    <t>Yes</t>
  </si>
  <si>
    <t>We recognise that this defect is a priority, but as there is currently a workaround, which is to ensure you enter a country code in DE 5/16, it's not considered critical. We have raised a feature which is targeted for delivery in 2022.</t>
  </si>
  <si>
    <t>Processing Failure</t>
  </si>
  <si>
    <t>Where a declaration has been submitted using a non-GBP currency at header level in DE 4/11, all values at item level in DE 4/14 must be declared using the same currency. If a non-matching currency is used at item level, CDS will not be able to process the declaration and the declaration will remain in a received state.
CDS will similarly fail to process a declaration where an invalid currency code has been declared, e.g. GPB instead of GBP.</t>
  </si>
  <si>
    <t>Until resolution, declarants must:
- Only use GBP as declaration currency at header level
- Ensure that all currencies used at item level in DE 4/14 are the same</t>
  </si>
  <si>
    <t xml:space="preserve">This defect fails to trap an error (rather than rejecting a valid declaration), so was not considered a priority to fix before December 2020.  A related defect (where an invalid currency code is declared) has already been fixed. We will advise via the KEL when we have a 2021 delivery date. </t>
  </si>
  <si>
    <t>When a trader declares ALVS documents in D/E 2/3 on an Import declaration in a goods item, they are currently required to enter a Country of Origin in D/E 5/15.
However, when the same declaration includes a claim for a Quota Preferential Rate, they are also required to enter a Preferential Country of Origin in D/E 5/16.
It would not normally be expected for both sets of information to be completed, where the Country of Origin and Preferential Country of Origin are identical.
However, in this scenario both sets of information will need to be completed until this is fixed.</t>
  </si>
  <si>
    <t>Until resolved, declarants will have to declare both a Country of Origin and Preferential Country of Origin</t>
  </si>
  <si>
    <t>Token refresh failure. CDS refresh token may occasionally be rejected by the ‘CDS renew Token API’ function. If this happens it will not be possible for the trader to submit declarations until the software supplier manually creates a refresh token through the Government Gateway.</t>
  </si>
  <si>
    <t>To resolve this issue, the software supplier should manually create a refreshed token through the Government Gateway Portal.</t>
  </si>
  <si>
    <t>Amendment</t>
  </si>
  <si>
    <t>When testing amendment of a declaration with an RPA licence quota, an unexpected rejection may be received, DMS 10003 : Obligation Error: Number of Occurrences exceeds what is allowed for the Data Element (BR474_173)
This is due to the Quota Emulator in Trade Test incorrectly returning a quota allocation response to DMS (as it would for a first come first served quota). We will revisit the interaction with the Quota Emulator, but in the meantime we have observed that a workaround is to submit only one Duty Tax Fee object in the Amendment payload. 
i.e. instead of submitting :
&lt;DutyTaxFee&gt;
&lt;TypeCode&gt;A00&lt;/TypeCode&gt;
&lt;Payment&gt;
&lt;MethodCode&gt;E&lt;/MethodCode&gt;
&lt;/Payment&gt;
&lt;/DutyTaxFee&gt;
&lt;DutyTaxFee&gt;
&lt;DutyRegimeCode&gt;120&lt;/DutyRegimeCode&gt;
&lt;QuotaOrderID&gt;094067&lt;/QuotaOrderID&gt;
&lt;/DutyTaxFee&gt;
Submit : 
&lt;DutyTaxFee&gt;
&lt;DutyRegimeCode&gt;120&lt;/DutyRegimeCode&gt;
&lt;QuotaOrderID&gt;094067&lt;/QuotaOrderID&gt;
&lt;TypeCode&gt;A00&lt;/TypeCode&gt;
&lt;Payment&gt;
&lt;MethodCode&gt;E&lt;/MethodCode&gt;
&lt;/Payment&gt;
&lt;/DutyTaxFee&gt;
(All the same elements are there, but within one tag)</t>
  </si>
  <si>
    <t>In order to avoid this error, testers should submit only one Duty Tax Fee object in the Amendment payload:
i.e. instead of submitting :
&lt;DutyTaxFee&gt;
&lt;TypeCode&gt;A00&lt;/TypeCode&gt;
&lt;Payment&gt;
&lt;MethodCode&gt;E&lt;/MethodCode&gt;
&lt;/Payment&gt;
&lt;/DutyTaxFee&gt;
&lt;DutyTaxFee&gt;
&lt;DutyRegimeCode&gt;120&lt;/DutyRegimeCode&gt;
&lt;QuotaOrderID&gt;094067&lt;/QuotaOrderID&gt;
&lt;/DutyTaxFee&gt;
Submit : 
&lt;DutyTaxFee&gt;
&lt;DutyRegimeCode&gt;120&lt;/DutyRegimeCode&gt;
&lt;QuotaOrderID&gt;094067&lt;/QuotaOrderID&gt;
&lt;TypeCode&gt;A00&lt;/TypeCode&gt;
&lt;Payment&gt;
&lt;MethodCode&gt;E&lt;/MethodCode&gt;
&lt;/Payment&gt;
&lt;/DutyTaxFee&gt;
(All the same elements are there, but within one tag)</t>
  </si>
  <si>
    <t xml:space="preserve">CDSxxxxxx cross field validation errors (i.e. one field value provided is incompatible with another) point to both data elements as we do not know which of the pair is wrong. Where a CDSxxxxxx validation error relates to two separate cross-field validation failures, the pairs of data elements are not grouped according to the validation rule failed, and are not reflected in the error pointer sequencing provided in the DMSREJ. e.g. if error 1 was on data elements A &amp; B, and error 2 was C , D &amp; E, CDS could report pointers A, C, D, E, B in the DMSREJ. We will look into improving the sequence the of the pointers, but this is not a current priority. A means of addressing the grouping (and better addressing the sequencing) will be enabled by a planned DMS upgrade in 2021 to utilise an improved pointer structure in the next version of the WCO data model. </t>
  </si>
  <si>
    <t>Until resolved, traders should be aware that the error message provided may not state all applicable TARIC codes.</t>
  </si>
  <si>
    <t xml:space="preserve">When ObligationGuarantee/ReferenceID (Guarantee Reference) and ObligationGuarantee/ID (Other Guarantee Reference) aren't both populated, the result is a no notification scenario. The current CCG workaround calls for both Guarantee Reference and Other Guarantee Reference to be populated. However, this is not enforced by CDS validation, so when the workaround requirements aren't met it leads to a no notifications scenario (missing DMSTAX and DMSCPI notifications). Equally, if the GAN is entered into Other Guarantee Reference rather than Guarantee Reference, similar behaviour is observed. </t>
  </si>
  <si>
    <t>In order to mitigate a lack of a notification, declarants should populate both Guarantee Reference and Other Guarantee Reference</t>
  </si>
  <si>
    <t xml:space="preserve">Impact: Where the procedure 07 00 68P is declared, VAT will be suspended rather than relieved in the DMSTAX notification returned to the trader. The trader will not be over or under charged. </t>
  </si>
  <si>
    <t xml:space="preserve">Workaround not applicable. As there is an undesirable system behaviour, but this will not block sucessful declaration submission or processing. </t>
  </si>
  <si>
    <t>Traders could submit declarations claiming both relief &amp; suspension of duties payable, resulting in a revenue impact. Upon investigation, this is not a 'defect' that has been introduced by R3.4.0 development and is currently present in Production.
Further analysis is required in order to address the issue highlighted and close off the gap.</t>
  </si>
  <si>
    <t>Do not claim both relief and suspension of duties at the same time</t>
  </si>
  <si>
    <t>Where a RoW-NI declaration is submitted with a suspensions procedure code that applies to customs duties but not VAT, DMS displays an incorrect breakdown of duties against B00 &amp; B05 tax types. Duty calculation is correct therefore no monetary value impact.</t>
  </si>
  <si>
    <t xml:space="preserve"> If a successful prelodged declaration is arrived and tariff or business rules have changed between prelodgement and arrival which mean that the declaration now fails re-validation, the declaration is rejected with no opportunity to amend. Note for GPNs with amendments that fail re-validation, please refer to the Consolidated Workarounds Document for the relevant workaround.</t>
  </si>
  <si>
    <t>Workaround not applicable as there is unidesirable system behaviour. Declaration must be re-submitted, correcting any errors that caused the rejection at arrival.</t>
  </si>
  <si>
    <t>The tax point being used for impacted declarations is one day earlier than it should. This is obviously incorrect any time it happens, but was specifically noticed by TSS as it actually meant that the liabilities for some declarations didn’t appear in the statement they should have and will now be due for collection one month later than they should have. Those declarations were actually pushed back from a 1st April acceptance date to 31st March, creating the scenario which actually managed to delay finance collection.</t>
  </si>
  <si>
    <t>Trader to enter the declaration. AcceptanceDate with the date and time specified in Zulu time and to "NOT Enter" the previous document typeCode "CLE" on their declaration.</t>
  </si>
  <si>
    <t>CDS will not currently reject NI export simplified declarations (Additional Declaration Types B&amp;E) where Supplementary Units, or if a Taric Additional Code, is required by the commodity code. These goods are not permitted on a B&amp;E declaration and must be submitted on a full declaration.</t>
  </si>
  <si>
    <t>Where the commodity code on NI export declaration requires a supplementary unit to be provided in DE 6/2, or a Taric Additional Code in DE 6/16, do not use the simplified B&amp;E additional declaration types to submit the declaration to CDS - A full declaration must be used instead.</t>
  </si>
  <si>
    <t>REJ instead of ACC</t>
  </si>
  <si>
    <t>It has been identified that certain commodity codes that attract doc codes classed as 'ALVS' licences/documents will mandate an EORI to be declared in D.E. 3/16 on an import declaration (for example, 0106320000 attracts ALVS licence 'C640').
However, certain imports (such as private bird, non-business owners bringing in goods under 0106320000) do not require the importer to own an EORI. This affects all customs declarations at import where there is a doc code in the 'ALVSDocuments' list, but the importer doesn't require a certificate and/or require an EORI.
Please note however, that DEFRA has confirmed a customs declaration is not required where the animal is moved with a pet passport and the total number of animals is 5 or less - in these cases use a C21i to move the animals through the inventory where required.</t>
  </si>
  <si>
    <t>Where: 1) the importer does not hold an EORI; 2) an import declaration is required; and; 3) a CHED must be completed - please enter the agent/declarants EORI in D.E. 3/16.</t>
  </si>
  <si>
    <t>CDS should send both a DMSALV and a DMSQRY in Trade Test (TT) when goods description: 'ttalvsdecisionHold1' is entered in DE 6/8, with a Package Type of: 'TR' in D.E 6/9 - In order to simulate the CDS responses issued for query functionality for ALVS holds. Unfortunately, the full functionality cannot currently be replicated/emulated in TT at this time, with CDS only returning a DMSALV OR a DMSQRY trader notification in TT.</t>
  </si>
  <si>
    <t>If a CDS declaration is invalidated, the resulting ERS does not contain an ICS value. The ICS value details whether invalidation (SOE 4) is trader-initiated or HMRC-initiated. This is also contrary to the ILE Service Design.</t>
  </si>
  <si>
    <t>If SOE 4 is received without an ICS, the trader should assume ICS 6 (HMRC seizure), or query DIS for detailed declaration status.</t>
  </si>
  <si>
    <t>As part of the X300 alcohol related changes, the interpretation of ASV has been changed from a percentage (e.g. 23) to a fraction (e.g. 0.23). As a consequence, existing duty rates that include ASV in the duty expression are undercalculating the duty by a factor of 100 (e.g. GBP 7.91 instead of GBP 791.48). This applies to both EU and UK tariff. This includes Measure 103 - Third country duty (56 Tariff records)​ and Measure 142 - Tariff preference (100 Tariff records)​</t>
  </si>
  <si>
    <t>Traders must calculate customs charges manually and enter the charges using AI Statement 'OVR01' in DE 2/2. Applicable values should then be entered in group 4 data elements as required and document code '9WKS' entered in DE 2/3. For further information please refer to the Tariff Volume 3 for CDS.</t>
  </si>
  <si>
    <t>ACC instead of REG</t>
  </si>
  <si>
    <t>Declarations are being incorrectly accepted when Classification ID (DE 6/16) is populated with meursing codes more than 4 digits in length. This may result in an incorrect meursing calculation.</t>
  </si>
  <si>
    <t>Please ensure that the correct meursing code is declared in DE 6/16. Traders should determine the meursing code they supply CDS with based on the specific formulation or recipe of the goods item. Each product will have its own Meursing code based on the amount of sucrose, starch/glucose, milk fat, milk protein present in it.</t>
  </si>
  <si>
    <t>Measures</t>
  </si>
  <si>
    <t>The business requirement necessitates rejecting declarations with invalid Meursing codes. However, the system currently accepts invalid Meursing codes commencing with '7,' but does not calculate Meursing duty. This results in declarations not being rejected but not having any Meursing duty calculated.</t>
  </si>
  <si>
    <t>Traders should follow guidance and input correct/valid meursing codes.</t>
  </si>
  <si>
    <t>If a declaration contains a goods item that makes a claim to quota, and that quota claim is not 100% granted, CDS will generate an additional goods item on the declaration to account for the proportion of the original goods item that did not get quota. If the declaration was submitted with 99 goods items, the additional goods item generated will cause the declaration to exceed 99 goods items and will not proceed any further due to restrictions that currently limit declarations to a maximum of 99 goods items.</t>
  </si>
  <si>
    <t>NI declarations that make a claim to UK quota will have an associated preference code in D/E 4/17 of (115, 123, 140, 223, 240, 315, 323, 340) and a quota order number in DE 8/1.
An EU preference code can now optionally be provided in DE 2/2 with AI Code 'EUPRF', however this is not not validated against EU Tariff when a quota claim is initially processed.
If the declaration results in a partial or zero quota allocation, CDS reprocesses the goods item (zero allocation) or the non-allocated amount against a new goods item without the quota order number or the code entered against EUPRF.
The declaration may then fail EU tariff validation when the preference code in DE 4/17 (or that in DE 2/2 if EUPRF was provided) is used in the validation and this code does not exist in the EU Tariff for the commodity code.
Affected declarations will cease processing and no error message will be returned.</t>
  </si>
  <si>
    <t>Where a declaration meets the above criteria and no CDS response is provided within expected timelines, the declaration will need to be resubmitted with quota claim and preference codes amended. Please contact HMRC to invalidate the affected declaration.</t>
  </si>
  <si>
    <t>Where a commodity code mandates an import control on ozone-depleting substances for an Import Declaration (Import control of fluorinated greenhouse gases for All countries) and the required document code 'Y160' is not entered against the goods item, a CDS49999 error code will be returned in the DMSREJ Trader Notification which does not pinpoint the error to the lack of doc code 'Y160'.</t>
  </si>
  <si>
    <t>Ensure that when the measure: 'Import control of fluorinated greenhouse gases for All countries' is shown against a commodity code, add Additional Document 'Y160' to DE 2/3 where the conditions of this document code are met.</t>
  </si>
  <si>
    <t>Inventory Linking</t>
  </si>
  <si>
    <t>On rare ocassions, when a MUCR of 100 DUCRs or less is arrived via an EAL, 3 duplicates of the 1 expected EMR are generated. The EMR content is expected at this time, although the 2 additional copies of the EMR are not expected.</t>
  </si>
  <si>
    <t xml:space="preserve"> End users should ignore duplicate EMRs.</t>
  </si>
  <si>
    <t>ILE currently incorrectly allows consolidations to be created with more than 8 intermediate MUCRs.</t>
  </si>
  <si>
    <t>In rare and intermittent scenarios, EALs for MUCRs with pre-lodged DUCRs may not be responded to with an EMR. This scenario is expected to be extremely uncommon and will occur far more frequently in test environments with low traffic (such as Trade Test and TDR).</t>
  </si>
  <si>
    <t>CDS does not currently permit an amendment to an export declaration if that amendment attempts to remove a goods item from an export declaration.</t>
  </si>
  <si>
    <t>Until this is resolved the correct action is to cancel the declaration and re-submit with the goods item removed.</t>
  </si>
  <si>
    <t>In control scenarios (ROE is not 6), ERSs are sent after departure of DUCRs with SOE 15 which are undesirable.</t>
  </si>
  <si>
    <t>CDS 4.9.1/TTM32.0/TDR 5.0.0</t>
  </si>
  <si>
    <t> If a parent MUCR is arrived and closed, followed by the off-loading of held DUCRs, a P2P EMR will not be issued for the parent MUCR once the held DUCRs have been offloaded.</t>
  </si>
  <si>
    <t>Re-arriving the parent MUCR will stimulate the issue of a P2P EMR.</t>
  </si>
  <si>
    <t>If an EDL is issued for a MUCR that contains a departed DUCR, no response is issued. This is contrary to the design which states an ACK should be issued.</t>
  </si>
  <si>
    <t>ILE Query will confirm the departure status of the MUCR and underlying DUCRs.</t>
  </si>
  <si>
    <t> Following a departure request of NI MIB Export declaration (denoted by AI code MIB01 in declaration), ILE processes the departure request successfully and issues an ACK response but fails to send an exit message (IE518) to DMS to complete the export process. This causes the declaration to remain under 'Clearance/Goods Release for Export' state, resulting in a lack of DMSEOG to declarant and the declaration being invalidated after 150 days.</t>
  </si>
  <si>
    <t>"CDS will not currently process a partial quota claim where a Simplified Procedure Value (SPV) is used on the declaration - Declarations submitted this way will not be processed correctly and will enter an un-recoverable state."  </t>
  </si>
  <si>
    <t xml:space="preserve">When combining combining SPV with a quota claim users should omit APC 1SV, manually calculate the value of the goods using the appropriate UK SPV rate here: https://www.trade-tariff.service.gov.uk/simplified_procedure_value and declare this as the value in DE 4/14. The valuation method should still be declared as valuation method 4. Quota order number should be declared as normal.
If a declaration has been submitted without the above workaround and has entered the un-recoverable state, users should contact HMRC for further information
</t>
  </si>
  <si>
    <t xml:space="preserve"> When a consolidated DUCR is diverted and arrived by GVMS, the previous arriver (CSP) will receive an ERS. The DUCR will be disassociated from the MUCR as per intention
</t>
  </si>
  <si>
    <t>CSP to ignore stray ERS</t>
  </si>
  <si>
    <t>Amendments to import declarations should not be accepted after the dwell time has concluded. However, if a declarant attempts to amend an import declaration with a claim to quota after the dwell time has completed, CDS will not currently reject this amendment attempt. The declaration will not progress to clearance where this occurs.</t>
  </si>
  <si>
    <t>Do not attempt to amend an import declaration with a claim to quota after the dwell time has concluded. If an amendment is required after the dwell time has concluded the declaration should be invalidated and resubmitted with the correct information.</t>
  </si>
  <si>
    <t>Any declaration that is invalidated or Handled Externally (DMSEXT) where the declaration had triggered a CERTEX check with quantity being reserved, will not have their quantity restored if the invalidation or declaration was Handle Externally after controls had been closed. This means that the trader's license may show an incorrect quantity for any subsequent declarations following the original declaration being invalidated/Handled Externally.</t>
  </si>
  <si>
    <t>Where an amendment/correction additional message is submitted to CDS containing an amendment with the 'TransportEquipment' data element (31B) as a TagID, no DMSRES notification will be sent to the trader when the declaration is subsequently arrived and the declaration cannot be progressed further than acceptance.</t>
  </si>
  <si>
    <t>To modify TransportEquipment, the value '31B' must be present as a DocumentSectionCode in the COR message, not as a TagID.  If a declaration enters the state detailed above, the declaration should be invalidated and resubmitted.</t>
  </si>
  <si>
    <t>When an inventory linked, pre-lodged declaration progresses (either via goods presentation notice or invalidation) without a prior movement via the inventory linking system, trader notifications will be issued by CDS, but the status notification from ILE to GNC and DIS may be populated with an empty TransportMeans element, meaning the notifications fall into the CDS.PROGRESS_NOTE_FOR_GNC_ERROR or CDS.PROGRESS_NOTE_FOR_DIS_ERROR queue respectively without updating their status in GNC/DIS databases.</t>
  </si>
  <si>
    <t>no known workaround for this issue, but an ILE fix is being pursued.</t>
  </si>
  <si>
    <t>NI import declarations (NIIMP &amp; NIDOM) for food/agricultural goods that are subject to a trade defence measure will incorrectly have additional duty due when subsidy (NIAID) is used - In affected cases the amount covered by subsidy will also be shown due as a payable amount against the declaration.</t>
  </si>
  <si>
    <t>The Online Tariff is currently displaying an incorrect Quota status against certain quota measures - It is showing a status of 'critical' when the actual status is 'exhausted'. As a result traders may feel the quota is still open and try to submit a declaration with a claim to quota, but will not receive a quota allocation and will be charged out-of-quota duty rates.</t>
  </si>
  <si>
    <t>In the event that this does occur, if possible, the CSP should create a new MUCR containing the correct set of DUCRs (which may not contain the originally associated DUCR). If this is not possible or suitable, the CSP should contact HMRC to assist in resolving the situation, which may include manually disassociating the departed DUCR from the MUCR.</t>
  </si>
  <si>
    <t>Reference ID</t>
  </si>
  <si>
    <t>Resolved/Closed Date</t>
  </si>
  <si>
    <t>001</t>
  </si>
  <si>
    <t>ACC instead of REJ</t>
  </si>
  <si>
    <t>Declarations that include an invalid additional code for the commodity declared will not be rejected as long as all appropriate additional codes for that commodity are also declared. For example, if the additional code VATZ is declared in D.E. 6/17 for a commodity that attracts a standard rate of VAT, the declaration will not be rejected and the standard rate of VAT will be applied.</t>
  </si>
  <si>
    <t>Resolved on 03/07/2019</t>
  </si>
  <si>
    <t>002</t>
  </si>
  <si>
    <t>Declaration is accepted and duties are correctly calculated if the VAT code is incorrectly entered in DE 6/17, rather than DE 6/16.</t>
  </si>
  <si>
    <t>Resolved on 28/03/2019</t>
  </si>
  <si>
    <t>003</t>
  </si>
  <si>
    <t>Declaration is incorrectly accepted and preferential duty is applied when a preference value of 200 is declared for a good originating from a GSP beneficiary country and the document code N865 or U167 is not declared in DE 2/3. Declaration is correctly processed and duties calculated if the correct codes are declared in DE 2/3.</t>
  </si>
  <si>
    <t>Resolved on 09/05/2019</t>
  </si>
  <si>
    <t>004</t>
  </si>
  <si>
    <t>Declaration is incorrectly accepted and duties are calculated where only one excise additional code is declared, even where two are required for the commodity code. For example, for commodity code 2203000900 additional code X445 is declared and declaration is processed successfully though X440 or X442 should also be required.</t>
  </si>
  <si>
    <t>005</t>
  </si>
  <si>
    <t>The declaration is incorrectly accepted and cleared when it includes a duplicated additional code or a duplicate additional goods item. In both instances, the declaration should be rejected and a CDS40007 error message should be received.</t>
  </si>
  <si>
    <t>Resolved on 25/01/2019</t>
  </si>
  <si>
    <t>006</t>
  </si>
  <si>
    <t>Declaration is incorrectly accepted and cleared when an AI code (DE 2/2) is declared at Header level. AI codes should only be entered at the Item level. The declaration should be rejected when an AI code is declared at Header level.</t>
  </si>
  <si>
    <t>Resolved on 26/02/2019</t>
  </si>
  <si>
    <t>007</t>
  </si>
  <si>
    <t>When calculating Tax Type A20 (Additional Duties on Imports from the US / Retaliatory Rates) on applicable commodities with Country of Origin as US, the duty is calculated based on Value for VAT instead of the Value for Duty. (i.e.. Item Price + Additions – Deductions + A00 Duty, instead of Item Price + Additions – Deductions). To date, this error has only been identified on declarations with a Country of Origin of US. We do not expect this to occur for other countries of origin.</t>
  </si>
  <si>
    <t>Resolved on 12/04/2019</t>
  </si>
  <si>
    <t>Where the commodity code attracts a Minimum Import Price rate of Duty (i.e.. The rate of duty increases as the Customs Value of the commodity decreases), then the system only calculates one rate of duty (the lowest rate) rather than the variable rate.</t>
  </si>
  <si>
    <t>Resolved on 05/09/2019</t>
  </si>
  <si>
    <t>009</t>
  </si>
  <si>
    <t>If tax type A20 is applicable with Meursing, it is not factored into the calculation of duties owed.</t>
  </si>
  <si>
    <t>010</t>
  </si>
  <si>
    <t>The calculation for excise is based on a rounded figure for Excise Codes X522, X589, X541, X571, X556, and X542 so that the CDS system produces a slightly different calculation compared to those made using the rates published on gov.uk. For example, for commodity code 2710124111 and country of origin CV, instead of calculating excise as £695.40, CDS calculates it as £696.00. As the VAT calculation depends on the Excise calculation, in this example instead of calculating VAT as £432.24, CDS calculates it as £432.36.</t>
  </si>
  <si>
    <t>011</t>
  </si>
  <si>
    <t>Infrastructure</t>
  </si>
  <si>
    <t>There is an intermittent issue where applications within the infrastructure become unhealthy so that declaration processing is temporarily paused and no notifications are received. This can impact declarations in the initial validation stage (i.e. before DMSACC has been received) or during further declaration processing (i.e. following DMSACC and before consolidated DMSTAX/DMSCLE is received). The Trade Test infrastructure continues to be configured to become increasingly resilient and monitoring is in place to more quickly identify unhealthy components. However, we are still investigating and resolving further underlying issues which may impact the stability of the environment.</t>
  </si>
  <si>
    <t>012</t>
  </si>
  <si>
    <t>Processing of declarations submitted in the trade test environment fails and no notifications are received when more than 12 GoodsItems are declared in the same declaration. Declarations with fewer than 12 GoodsItems declared should be accepted and duties calculated with all notifications received.</t>
  </si>
  <si>
    <t>013</t>
  </si>
  <si>
    <t>A defect prevents the rejection of an inventory linked declaration following a negative response to the inventory matching request. While it is possible to make a negative response to the match request, the declaration remains in a registered state and continues to attempt revalidation. Because the declaration is never rejected, the only workaround is to cancel the declaration.</t>
  </si>
  <si>
    <t>014</t>
  </si>
  <si>
    <t xml:space="preserve">Inventory Linking </t>
  </si>
  <si>
    <t>Declaration is incorrectly accepted and cleared following a negative response to the inventory match request. This only impacts 'unhappy path' inventory linking scenarios. 
A positive response to the inventory match request is processed successfully with all notifications received.</t>
  </si>
  <si>
    <t>015</t>
  </si>
  <si>
    <t>An inventory linked declaration is not successfully processed with all notifications received unless the MUCR is declared at both the Header and Item level on the declaration.
This contradicts the end-state requirement, where MUCR is only required at the Header level on an inventory linked declaration.</t>
  </si>
  <si>
    <t>016</t>
  </si>
  <si>
    <t>There is a mapping defect that prevents the Total Packages (DE 6/18) from being mapped into the inventory matching request. Instead, the package amount in the inventory match is mapped to Package Quantity (DE 6/10).
As a workaround, the total package quantity should be entered in the first instance of DE 6/10 at the Item level, as well as in DE 6/18 at Header level. The value from the first instance of 6/10 (Declaration/Goods Shipment/GovernmentAgencyGoodsItem/Packaging/QuantityQuantity) will be returned in the inventory match request.</t>
  </si>
  <si>
    <t>017</t>
  </si>
  <si>
    <t>The clearance notification is not received on an inventory linked Type F declaration for which the goods arrival is notified using the Goods Arrival notification. The workaround is to include the (optional) data element 'BorderTransportMeans/RegistrationNationalityCode' at the Header level on the initial Type F declaration whilst the issue is being investigated.</t>
  </si>
  <si>
    <t xml:space="preserve">As a workaround, the following should be included in the declaration. Please refer to the XML sample messages for further guidance:
&lt;BorderTransportMeans&gt;
      &lt;RegistrationNationalityCode&gt;GB&lt;/RegistrationNationalityCode&gt;
&lt;/BorderTransportMeans&gt;  </t>
  </si>
  <si>
    <t>018</t>
  </si>
  <si>
    <t>We are aware that the CDS system in trade test is currently missing some National Measures from the period of October 2017 to March 2018. This includes some excise measures. We are in the process of updating the measures in the CDS system, but this has only been applied to a sub-set of commodity codes as part of the Trade Test build.</t>
  </si>
  <si>
    <t>019</t>
  </si>
  <si>
    <t>In some instances supplementary units are required for a commodity code that does not align to the Tariff guidance. We are reviewing these discrepancies and will provide further detail once it is available.</t>
  </si>
  <si>
    <t>Resolved on 24/10/2019</t>
  </si>
  <si>
    <t>020</t>
  </si>
  <si>
    <t>We are aware of some instances where the CDS system incorrectly requires an exports-only document code to be declared for a commodity. Declaration is rejected both with and without the codes as CDS has been configured to reject exports-only codes that are used on an import declaration. For example, declarations using commodity code for 9706000000 will be rejected in all cases as system expects document code 9107 or 9108 for this commodity but these are exports certificates so any imports declaration using these codes will be rejected. Commodity code 9706000000 should not be used in this phase of trade test. 
This is the only instance of this error that has been identified to date.</t>
  </si>
  <si>
    <t>021</t>
  </si>
  <si>
    <t>Where a declaration fails validation and is rejected due to a missing additional document, the DMSREJ notification does not point to additional document. For example, if additional document N853 is omitted from a declaration using commodity code 1902203090, the declaration will be correctly rejected but the pointer will only point to GovernmentAgencyGoodsItem (68A) rather than AdditionalDocument (02A).</t>
  </si>
  <si>
    <t>In the case of this example, the DMSREJ will appear as follows:
&lt;_2_1:AdditionalInformation&gt;
          &lt;_2_1:StatementCode&gt;B&lt;/_2_1:StatementCode&gt;
          &lt;_2_1:StatementDescription&gt;Condition code for a measure condition not being fulfilled&lt;/_2_1:StatementDescription&gt;
          &lt;_2_1:StatementTypeCode&gt;7&lt;/_2_1:StatementTypeCode&gt;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&lt;_2_1:AdditionalInformation&gt;
          &lt;_2_1:StatementCode&gt;29&lt;/_2_1:StatementCode&gt;
          &lt;_2_1:StatementDescription&gt;Tariff Action Code for a measure condition not being fulfilled&lt;/_2_1:StatementDescription&gt;
          &lt;_2_1:StatementTypeCode&gt;6&lt;/_2_1:StatementTypeCode&gt;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&lt;_2_1:AdditionalInformation&gt;
          &lt;_2_1:StatementCode&gt;N853&lt;/_2_1:StatementCode&gt;
          &lt;_2_1:StatementDescription&gt;Required Certificate N853 not supplied&lt;/_2_1:StatementDescription&gt;
          &lt;_2_1:StatementTypeCode&gt;7&lt;/_2_1:StatementTypeCode&gt;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&lt;_2_1:Error&gt;
          &lt;_2_1:ValidationCode&gt;TMSV0066&lt;/_2_1:ValidationCode&gt;
          &lt;_2_1:Pointer&gt;
            &lt;_2_1:DocumentSectionCode&gt;42A&lt;/_2_1:DocumentSectionCode&gt;
          &lt;/_2_1:Pointer&gt;
          &lt;_2_1:Pointer&gt;
            &lt;_2_1:SequenceNumeric&gt;1&lt;/_2_1:SequenceNumeric&gt;
            &lt;_2_1:DocumentSectionCode&gt;67A&lt;/_2_1:DocumentSectionCode&gt;
          &lt;/_2_1:Pointer&gt;
          &lt;_2_1:Pointer&gt;
            &lt;_2_1:SequenceNumeric&gt;1&lt;/_2_1:SequenceNumeric&gt;
            &lt;_2_1:DocumentSectionCode&gt;68A&lt;/_2_1:DocumentSectionCode&gt;
          &lt;/_2_1:Pointer&gt;
        &lt;/_2_1:Error&gt;</t>
  </si>
  <si>
    <t>022</t>
  </si>
  <si>
    <t>Where a declaration is submitted with multiple missing document codes for the commodity code declared, the declaration will be correctly rejected but the DMSREJ notification may not include details for all missing document codes. For example, if document codes C678, Y940, C644, and Y929 are omitted for commodity code 2007999752 the DMSREJ only refers to missing certificates C644 and Y929.</t>
  </si>
  <si>
    <t>023</t>
  </si>
  <si>
    <t>We are aware of some instances where an error message pointing to a missing additional code is returned multiple times.</t>
  </si>
  <si>
    <t>025</t>
  </si>
  <si>
    <t>When a declaration triggers a validation failure with the Charges Deduction Type Code and the declaration is rejected, the pointer in DMSREJ notification does not indicate whether it is referring to the first or second instance of the charges.</t>
  </si>
  <si>
    <t>026</t>
  </si>
  <si>
    <t>The DMSTAX notification does not include the Value for VAT and Value for Duty in some scenarios. A partial fix has been implemented so that Value for VAT and Value for Duty will be returned in the DMSTAX notification where the tax is calculated on an ad valorem rate, and therefore the value returned is a monetary amount. 
We are aware this fix was not correctly implemented in TTM5.0. However, this has been corrected in TTM5.1 and these values should be returned in DMSTAX in the cases outlined above.
Further investigation is underway so that these values are included on the DMSTAX notification across a broader range of scenarios.</t>
  </si>
  <si>
    <t>027</t>
  </si>
  <si>
    <t>Where a declaration fails validation and is rejected due to an issue with the Document Code or Document Status, the pointer returned in the CDS error message will point to the Document Code field only.</t>
  </si>
  <si>
    <t>Resolved on 23/04/2020</t>
  </si>
  <si>
    <t>A pointer to the Document Code will appear as follows. Please note the error is duplicated as one points to AdditionalDocument/TypeCode and the other points to AdditionalDocument/CategoryCode:
 &lt;_2_1:Error&gt;
        &lt;_2_1:ValidationCode&gt;DMS12056&lt;/_2_1:ValidationCode&gt;
        &lt;_2_1:Pointer&gt;
          &lt;_2_1:DocumentSectionCode&gt;42A&lt;/_2_1:DocumentSectionCode&gt;
        &lt;/_2_1:Pointer&gt;
        &lt;_2_1:Pointer&gt;
          &lt;_2_1:SequenceNumeric&gt;1&lt;/_2_1:SequenceNumeric&gt;
          &lt;_2_1:DocumentSectionCode&gt;67A&lt;/_2_1:DocumentSectionCode&gt;
        &lt;/_2_1:Pointer&gt;
        &lt;_2_1:Pointer&gt;
          &lt;_2_1:SequenceNumeric&gt;1&lt;/_2_1:SequenceNumeric&gt;
          &lt;_2_1:DocumentSectionCode&gt;68A&lt;/_2_1:DocumentSectionCode&gt;
        &lt;/_2_1:Pointer&gt;
        &lt;_2_1:Pointer&gt;
          &lt;_2_1:SequenceNumeric&gt;6&lt;/_2_1:SequenceNumeric&gt;
          &lt;_2_1:DocumentSectionCode&gt;02A&lt;/_2_1:DocumentSectionCode&gt;
          &lt;_2_1:TagID&gt;D006&lt;/_2_1:TagID&gt;
        &lt;/_2_1:Pointer&gt;
      &lt;/_2_1:Error&gt;
      &lt;_2_1:Error&gt;
        &lt;_2_1:ValidationCode&gt;DMS12056&lt;/_2_1:ValidationCode&gt;
        &lt;_2_1:Pointer&gt;
          &lt;_2_1:DocumentSectionCode&gt;42A&lt;/_2_1:DocumentSectionCode&gt;
        &lt;/_2_1:Pointer&gt;
        &lt;_2_1:Pointer&gt;
          &lt;_2_1:SequenceNumeric&gt;1&lt;/_2_1:SequenceNumeric&gt;
          &lt;_2_1:DocumentSectionCode&gt;67A&lt;/_2_1:DocumentSectionCode&gt;
        &lt;/_2_1:Pointer&gt;
        &lt;_2_1:Pointer&gt;
          &lt;_2_1:SequenceNumeric&gt;1&lt;/_2_1:SequenceNumeric&gt;
          &lt;_2_1:DocumentSectionCode&gt;68A&lt;/_2_1:DocumentSectionCode&gt;
        &lt;/_2_1:Pointer&gt;
        &lt;_2_1:Pointer&gt;
          &lt;_2_1:SequenceNumeric&gt;6&lt;/_2_1:SequenceNumeric&gt;
          &lt;_2_1:DocumentSectionCode&gt;02A&lt;/_2_1:DocumentSectionCode&gt;
          &lt;_2_1:TagID&gt;D031&lt;/_2_1:TagID&gt;
        &lt;/_2_1:Pointer&gt;
      &lt;/_2_1:Error&gt;</t>
  </si>
  <si>
    <t>028</t>
  </si>
  <si>
    <t>We are aware that the Smart Error Messages seen in the DMSACC notifications for TC27 and 39 have not been communicated before. Specifically, these messages include pointer codes 07B and 53A, which are not included in the list of WCO codes. These messages and pointers are associated with Front End Credibility functionality and are being refined. 
Before this functionality is introduced in Live, we will communicate more detailed information on how to handle these messages.</t>
  </si>
  <si>
    <t>A non-blocking FEC challenge will appear in the DMSACC as follows:
&lt;_2_1:AdditionalInformation&gt;
  &lt;_2_1:StatementCode&gt;smartErrorMsg&lt;/_2_1:StatementCode&gt;
        &lt;_2_1:StatementDescription&gt;Value per kilo appears too high for this commodity&lt;/_2_1:StatementDescription&gt;
        &lt;_2_1:StatementTypeCode&gt;1&lt;/_2_1:StatementTypeCode&gt;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&lt;_2_1:Error&gt;
        &lt;_2_1:Description&gt;Value per kilo appears too high for this commodity&lt;/_2_1:Description&gt;
        &lt;_2_1:ValidationCode&gt;DMS13000&lt;/_2_1:ValidationCode&gt;
        &lt;_2_1:Pointer&gt;
&lt;_2_1:DocumentSectionCode&gt;42A&lt;/_2_1:DocumentSectionCode&gt;
        &lt;/_2_1:Pointer&gt;
        &lt;_2_1:Pointer&gt;
&lt;_2_1:DocumentSectionCode&gt;67A&lt;/_2_1:DocumentSectionCode&gt;
        &lt;/_2_1:Pointer&gt;
        &lt;_2_1:Pointer&gt;
          &lt;_2_1:SequenceNumeric&gt;1&lt;/_2_1:SequenceNumeric&gt;
&lt;_2_1:DocumentSectionCode&gt;68A&lt;/_2_1:DocumentSectionCode&gt;
        &lt;/_2_1:Pointer&gt;
      &lt;/_2_1:Error&gt;</t>
  </si>
  <si>
    <t>029</t>
  </si>
  <si>
    <t>When a declaration is submitted with a commodity code of an invalid length, the CDS system experiences an error that causes the processing of the declaration to fail and no notifications are received. Declarations should only be submitted with a commodity code of 8 or 10 digits.</t>
  </si>
  <si>
    <t>Resolved</t>
  </si>
  <si>
    <t>030</t>
  </si>
  <si>
    <t>When a declaration is submitted using Excise code (tax type) X441, an error is triggered that causes the declaration to cease processing and no notifications are received.</t>
  </si>
  <si>
    <t>031</t>
  </si>
  <si>
    <t>When a declaration is submitted with gross mass or net mass of more than 11 digits, the CDS system experiences an error that causes the processing of the declaration to fail and no notifications are received. Declarations should be submitted with a net mass or gross mass that is 11 digits or fewer.</t>
  </si>
  <si>
    <t>032</t>
  </si>
  <si>
    <t>There is a potential issue where a declaration hangs in a 'received' state prior to validation by DMS because the payload is missing an element required by DMS core. However, this is not caught during initial schema validation. We are investigating this issue.</t>
  </si>
  <si>
    <t>Resolved on 23/03/2020</t>
  </si>
  <si>
    <t>033</t>
  </si>
  <si>
    <t>We are aware of some instances where a document is mandated by the CDS system though it is not required according to the UK Trade Tariff on gov.uk. For example, document L100 is mandated for the commodity code 8802120090 though it is not required per UK Trade Tariff.</t>
  </si>
  <si>
    <t>034</t>
  </si>
  <si>
    <t>XML Structure</t>
  </si>
  <si>
    <t>For alphanumeric fields where there is no code list applied, a declaration using any valid character from the UTF-8 codepage will pass schema validation. There is currently no requirement to prevent declarations from being submitted using any character from within the UT-8 definition. 
We are currently considering whether there is a requirement for a future release to reject a declaration if it uses certain special characters.</t>
  </si>
  <si>
    <t>Closed - Not a Defect - 28/05/2020</t>
  </si>
  <si>
    <t>035</t>
  </si>
  <si>
    <r>
      <t xml:space="preserve">There is a schema mismatch that caused some declarations to be rejected by </t>
    </r>
    <r>
      <rPr>
        <sz val="11"/>
        <rFont val="Calibri"/>
        <family val="2"/>
      </rPr>
      <t>one of the downstream service which caused MDTP to return a 500 server error, rather than a 400 BAD REQUEST. This has been observed where the element &lt;FunctionCode&gt; is omitted from the payload. The route cause has been identified and a fix is being applied.</t>
    </r>
  </si>
  <si>
    <t>Resolved on 29/11/2018</t>
  </si>
  <si>
    <t>036</t>
  </si>
  <si>
    <t>During TTM5.1, cancellation messages must include the element Declaration/Submitter in the body of the cancellation message. This should be populated with the EORI of the party making the submission. In addition, all Submitter elements (e.g. Name, Address) that were provided on the declaration must also be included in the cancellation message. This applies to both CSP and non-CSP cancellation messages.
Both of these are expected to be resolved in the next functional release into Trade Test.
The following should further be noted with regards to the Submitter:
-- Submitter is an optional element within the WCO Declaration Schema and therefore is not required within the declaration submission. We would advise against including this element on declaration submissions.
-- All CSP-initiated additional messages (goods arrival, cancellation, amendment), must include the Submitter in the API header of the message. This should be populated with the EORI of the Declarant or Agent who initiated the submission. This is an end-state requirement and will not change once this known error is resolved.</t>
  </si>
  <si>
    <t>037</t>
  </si>
  <si>
    <t>CSP declaration status notifications for inventory linked declarations are currently being returned with a SOAP header. This will be resolved in a future release where the status notifications will be returned without a SOAP header, in line with other notifications produced by the CDS system.</t>
  </si>
  <si>
    <t>038</t>
  </si>
  <si>
    <t>When Representation Status (DE 3/21) is included on the declaration but Agent EORI (DE 3/20) is not, the declaration is incorrectly rejected. This contradicts the requirement, where DE 3/20 should only be a mandatory element where there is more than one agent involved in the declaration. The requirement allows for the following 3 scenarios:
1. Importer Self-Representing (i.e. no agent or sub-agent used)
DE 2/2: AI Statement ‘00500’ – As the declarant and the consignee are the same person.
DE 3/16: Importer EORI - Identification number of the party who makes, or on whose behalf an import declaration is made.
DE 3/18: Importer EORI - Declarant
2. Declaration lodged by an Agent on behalf of Importer 
DE 3/16: Importer EORI - Identification number of the party who makes, or on whose behalf an import declaration is made.
DE 3/18: Agent EORI - Declarant
DE 3/21: Representation status of the Agent in DE 3/18 (Direct-code 2 or Indirect-code 3)
3. Declaration lodged by a Sub-Agent, of the Agent, employed by Importer
DE 3/16: Importer EORI - Identification number of the party who makes, or on whose behalf an import declaration is made.
DE 3/18: Sub-Agent EORI - Declarant
DE 3/20: Agent EORI – Representative as different from Declarant
DE 3/21: Representation status of the Agent in DE 3/18 (Direct-code 2 or Indirect-code 3)</t>
  </si>
  <si>
    <t>040</t>
  </si>
  <si>
    <t>Declaration is incorrectly rejected when certain Additional Information statement codes are entered in DE 2/2 with a valid StatementDescription as per the instructions in Appendix 4: DE 2/2: Additional Information Statement Codes of the UK Trade Tariff.  This impacts the following Additional Information statement codes: 00100, 00200, 00300, 00400, 00600, CAP10, CAP11, ECONR, ECONE, GEN45, GEN49, IRQ0B, MIB01, POD06, ROY01, ROY02, PRO07, PRO08, RPTID. This is due to incorrect reference data in the CDS core system. As a workaround, the StatementDescription should be removed from all instances of these codes.</t>
  </si>
  <si>
    <t>041</t>
  </si>
  <si>
    <t>Declaration is incorrectly rejected where document code N934 is omitted from the declaration where Valuation Method 2, 3, 4, 5, or 6 is entered in the declaration. Similarly, where N934 is declared the declaration will be incorrectly rejected unless Valuation Method of 2, 3, 4, 5, or 6 is entered. Document code N934 should only be mandatory if instructed to complete a form DV1 by Customs. As a workaround until a fix is released, document N934 should be included on the declaration in these scenarios.</t>
  </si>
  <si>
    <t>042</t>
  </si>
  <si>
    <t>Declaration status notifications sent to the CSP for inventory linked declarations show a ROE code of 0 (Risking not complete; No Controls) rather than a ROE code of 6 (Risking complete; No Controls). It is expected behaviour during this phase of Trade Test that all declaration status notifications will indicate that there have been No Controls as documentary and physical controls are not yet in scope.</t>
  </si>
  <si>
    <t>043</t>
  </si>
  <si>
    <t>A cancellation request cannot be submitted that includes the amendment reason text within the XML structure during TTM6.0.0 only. If the free text amendment reason field is included, processing of the cancellation request will fail. This is a new defect which did not occur in TTM5.1 and a fix is being developed for the next functional release into Trade Test.</t>
  </si>
  <si>
    <t>044</t>
  </si>
  <si>
    <t>Declaration is incorrectly rejected in a direct representation scenario. If the agent is authorised to use the DAN owned by the importer (function code = 2), the declaration should be accepted and cleared.</t>
  </si>
  <si>
    <t>Resolved on 08/02/2019</t>
  </si>
  <si>
    <t>045</t>
  </si>
  <si>
    <t>A multi-goods item declaration will be incorrectly rejected where a value of '0' is declared in DE 6/10 Number of Packages if a value of '7' is not declared in DE 7/4 Mode of Transport at the Border. Single goods item declarations will also be rejected where a value of '7' is not declared in DE 7/4 Mode of Transport when a value of '0' is declared in DE 6/10 Number of Packages as per the guidance in the UK Trade Tariff. This KEL applies only to multi-goods item declarations.</t>
  </si>
  <si>
    <t>Resolved on 21/10/2019</t>
  </si>
  <si>
    <t>046</t>
  </si>
  <si>
    <t>A declaration will be incorrectly rejected if the code 'XXX' is declared in DE 4/1 Delivery Terms when the value 2, 3, 4, 7, or 9 is declared in DE 7/4 Mode of Transport.</t>
  </si>
  <si>
    <t>047</t>
  </si>
  <si>
    <t>Processing of declarations submitted in the trade test environment fails and no notifications are received when more than 8000 previous documents are declared at Header level in the same declaration. This contradicts the guidance in the UK Trade Tariff which allows up to 9999 occurrences of DE 2/1 previous document at the Header level. Declarations with fewer than 8000 previous documents declared at Header level should be accepted and duties calculated with all notifications received.</t>
  </si>
  <si>
    <t>048</t>
  </si>
  <si>
    <t>Declarations that do not include the element Declaration/Goods Shipment/GovernmentAgencyGoodsItem/Packaging/SequenceNumeric trigger a processing error that causes the declaration to 'hang' so that the declaration is not processed and no notifications are produced. While the underlying issue is being resolved, the element Declaration/Goods Shipment/GovernmentAgencyGoodsItem/Packaging/SequenceNumeric should be included on all declarations submitted to CDS to ensure notifications are received. This is related to KEL ID 032.</t>
  </si>
  <si>
    <t>049</t>
  </si>
  <si>
    <t xml:space="preserve">DMSREJ is inconsistently returning the SequenceNumeric element for repeating elements where a SequenceNumeric should always be provided. Beginning in TTM6.0.0, where there is only one instance of an element, a SequenceNumeric should not be returned in the rejection notification and the DMSREJ should never include a SequenceNumeric of 0. However, there remain some instances where SequenceNumeric is not provided for a repeating element. </t>
  </si>
  <si>
    <t>050</t>
  </si>
  <si>
    <t xml:space="preserve">When a declaration is submitted using a deferment account number that does not exist in the database (i.e. not found in the Test Data Cover Sheet for Trade Test), CDS experiences an error that causes processing of the declaration to fail and no notifications are received. </t>
  </si>
  <si>
    <t>051</t>
  </si>
  <si>
    <t>Inventory match request for pre-lodged declarations submitted did not include the H prefix within the ROE field &lt;n1:roe&gt;H0&lt;/n:1roe&gt;. This was incorrectly returned as &lt;n:1roe&gt;0&lt;n:1roe&gt;. This defect has now been resolved and the H prefix should be returned on the inventory match request for all pre-lodged declarations (Declaration Type = D, E, F).</t>
  </si>
  <si>
    <t>052</t>
  </si>
  <si>
    <t>Amendment is not successfully applied when a valid amendment message is submitted for the following types of amendment: Amend Licence, Amend Value, Amend either procedure code or additional procedure code, Delete Item, Amend Currency, Amend Consignee/Consignor, Delete Item, Amend Preference.</t>
  </si>
  <si>
    <t>Resolved on 30/01/2020</t>
  </si>
  <si>
    <t>053</t>
  </si>
  <si>
    <t>Calculations for duties in currency conversion scenarios are based on an exchange rate that is rounded to 2 decimal places, rather than the documented 3 decimal places.</t>
  </si>
  <si>
    <t>054</t>
  </si>
  <si>
    <t>Enhanced validation rules are being introduced to support Exports in the TTM6.2 release, so that validation behaviour is common across Imports and Exports. However until further Exports functionality is delivered a small number of these common rules will incorrectly cause rejections when applied to Export declarations. Configuration changes, planned for release into Trade Test at the end of May, will make these rules imports-specific. Until then, test scenarios should avoid use of the following codes if successful submission is required.
Codes N990 , C604, C610 or Y946 in 2/3 Documents Produced; EXW or EXWH in 3/39 Holder of the authorisation; 10300 in 2/2 Additional Information</t>
  </si>
  <si>
    <t>055</t>
  </si>
  <si>
    <t>A declaration will be incorrectly rejected when a &lt;ModeCode&gt; element is added to &lt;DepartureTransportMeans&gt; in the declaration XML.</t>
  </si>
  <si>
    <t>056</t>
  </si>
  <si>
    <t>Declaration is incorrectly accepted and cleared when TotalPackageQuantity exceeds the maximum field length of 7 numeric characters.</t>
  </si>
  <si>
    <t>057</t>
  </si>
  <si>
    <t>Declaration is incorrectly accepted and cleared when Packaging/QuantityQuantity exceeds the maximum field length of 5 numeric characters</t>
  </si>
  <si>
    <t>058</t>
  </si>
  <si>
    <t>When a Type Z Exports declaration is submitted with an incorrect commodity code (for example 00021219), the pointer expressed in the DMSREJ should point to  '/declaration/consignment Shipment/goodsItems[sequence Number=""]/commodity/classifications' but instead displays /declaration/consignment Shipment/goodsItems[sequence Number="2"]/additional Units'</t>
  </si>
  <si>
    <t>059</t>
  </si>
  <si>
    <t>Declaration is incorrectly rejected when country of destination is declared at Header level only. To ensure Exports declarations are processed successfully, country of destination should be declared at the item-level.</t>
  </si>
  <si>
    <t>060</t>
  </si>
  <si>
    <t>A declaration will incorrectly pass validation if the MUCR exceeds the 25 character maximum length for this field.</t>
  </si>
  <si>
    <t>061</t>
  </si>
  <si>
    <t>In an inventory mismatch scenario, an additional UKCIUM message is sent in error following amendment and successful inventory match before the declaration is processed and cleared as expected. 
This occurs in the following scenario:
1. Declaration is submitted and CDS generates initial inventory match request.
2. CSP sends inventory mismatch response to initial UKCIUM message (“001” response)
3. CSP amends MCR on the declaration using an amendment message
4. CDS sends subsequent inventory match request
5. CSP sends inventory match response (“000” response)
6. Rather than processing the declaration, CDS sends another inventory match request.
7. Provided CSP sends another inventory match response (“000” response)
then declaration is processed and notifications are received.</t>
  </si>
  <si>
    <t>062</t>
  </si>
  <si>
    <t>Null amendment to override the 1 hour wait timer is incorrectly rejected following a negative inventory match on a Type A declaration only. The second expected UKCIUM message is received once the 1 hour wait timer has elapsed, rather than as a response to the null amendment. Null amendments are correctly processed (and so can be tested) for Type C declarations.</t>
  </si>
  <si>
    <t>063</t>
  </si>
  <si>
    <t>Where a goods presentation message is submitted on an inventory-linked Type F declaration with the mandatory fields only, specifically without Border Transport Nationality (DE 7/15), the declaration remains in a registered state. Declaration is not arrived and converted to a Type C declaration, meaning the subsequent inventory match request and expected notifications are not received. When both optional and mandatory fields are included in the goods presentation message (as per the XML sample messages) then the Type F declaration is successfully arrived and converted to a Type C with all notifications received.</t>
  </si>
  <si>
    <t>064</t>
  </si>
  <si>
    <t>No pointer is returned where the following pointer is expected:
•  SpecificCircumstancesCodeCode - 504
• (Consignee) ID: R015 (Tag ID)
• Consignee: 27A (Document section code) Address: 04A (Document section code) 
• Goods location: 67A (Document section code) And Consignee: 27A (Document section code) OR - ? Consignee: 27A (Document section code) Consignee - Name - R014 (Tag Id) 
• Seal: 44B (Document section code) SequenceNumeric - 006 (Tag Id)
• Consignee at Item level: Address: 04A (document section code) Country : 242 (Tag id)
• Consignee at Item level: Consignee - 27A - document sectionAddress: 04A (document section code)
• Consignee at Item level: Consignee - 27A - document section PartyName: R014 (Tag id)
• Consignee at Item level: Address: 04A (document section code) 
            o city Name : 241 (Tag id)
            o zip Code : 245 (Tag id)
            o streetAndNumber : 239 (Tag id)</t>
  </si>
  <si>
    <t>Resolved on 08/08/2019</t>
  </si>
  <si>
    <t>065</t>
  </si>
  <si>
    <t>There is an error where"R037 (Tag ID)" pointer is returned where "Exporter.partyName - R031 Tag ID" pointer is expected</t>
  </si>
  <si>
    <t>066</t>
  </si>
  <si>
    <t>There is an error where "R038 (Tag Id)" pointer is returned where "Exporter.PartyIdentification - R032 Tag ID" pointer is expected</t>
  </si>
  <si>
    <t>067</t>
  </si>
  <si>
    <t>There is an error where "142 (TagID)" pointer is returned where "QuantityQuantity - 144 (TagID)" pointer is expected</t>
  </si>
  <si>
    <t>068</t>
  </si>
  <si>
    <t xml:space="preserve">For relation based validation, CDS should return pointers to two declaration elements. However, in some scenarios, 2 errors are returned but only 1 of them contains a pointer to the offending Data Element, the other will only contain an error code. This occurs across several error scenarios and a fix is being impacted for a future release.
For example, if an Export Procedure code were to be declared on an Import (IM) Declaration, the error would be returned as follows:
&lt;_2_1:Error&gt;
        &lt;_2_1:ValidationCode&gt;CDS12104&lt;/_2_1:ValidationCode&gt;
        &lt;_2_1:Pointer&gt;
          &lt;_2_1:DocumentSectionCode&gt;42A&lt;/_2_1:DocumentSectionCode&gt;
          &lt;_2_1:TagID&gt;D013&lt;/_2_1:TagID&gt;
        &lt;/_2_1:Pointer&gt;
    &lt;/_2_1:Error&gt;
    &lt;_2_1:Error&gt;
        &lt;_2_1:ValidationCode&gt;CDS12104&lt;/_2_1:ValidationCode&gt;
    &lt;/_2_1:Error&gt;
Where CDS12104 indicates "Relation Error: Valid Import Procedure code (D.E. 1/10) is required
</t>
  </si>
  <si>
    <t>069</t>
  </si>
  <si>
    <t>The WCO ID for 2 fields is not correct in the DMSREJ messages sent by the CDS system. PreviousDocument/CategoryCode is pointing to WCO ID D031 and NOT WCO ID D013. Origin/TypeCode is pointing to WCO ID 501 and NOT WCO ID 066 (RegionID).</t>
  </si>
  <si>
    <t>070</t>
  </si>
  <si>
    <t>A Type C declaration is accepted but not cleared when certain Procedure Codes are used. We have seen this occur specifically with procedure codes: 5121000, 5100000, 4400000, 5100F44, 6123F01 and 6123F05.</t>
  </si>
  <si>
    <t>071</t>
  </si>
  <si>
    <t xml:space="preserve">Processing of declarations fails and no notifications are received when an Import electronic declaration is submitted that includes document code 1207 (DE 2/3) without including the Importers EORI (DE 3/16).
</t>
  </si>
  <si>
    <t>072</t>
  </si>
  <si>
    <t>The tax calculation step expects some data elements to be provided which should be optional for the procedure or declaration  category.   For example we have identified that if an H2 declaration is submitted without Item Price (DE 4/14), or Statistical Value (DE 8/6), a DMSACC will be received, but no further notifications. A Type A declaration into Warehouse (Procedure 71 00) without Duty Regime Code (DE 4/17) produces a similar result.   As a workaround, if the optional data elements are included on the declaration in these scenarios, the calculation completes correctly and the declaration is cleared.</t>
  </si>
  <si>
    <t>073</t>
  </si>
  <si>
    <t>Gross mass (DE 6/5) is incorrectly mandated on declaration Type B and E. Declaration without DE 6/5 will be incorrectly rejected.</t>
  </si>
  <si>
    <t>074</t>
  </si>
  <si>
    <t>A reason is incorrectly mandated where document code Y929 is entered on the declaration in DE 2/3. Declaration will be incorrectly rejected if a reason is not provided with document code Y929.</t>
  </si>
  <si>
    <t>075</t>
  </si>
  <si>
    <t>Supervising customs office (DE 5/27) is incorrectly mandated where document code 1207 is entered in DE 2/3. Declaration will be incorrectly rejected if supervising office is not entered where 1207 is declared. Please refer to the appendix in the UK Trade Tariff volume 3 for the codes which may be declared in DE 5/27.</t>
  </si>
  <si>
    <t>076</t>
  </si>
  <si>
    <t>Declaration is incorrectly rejected and a "Preference code is not applicable" error is received for certain preference code combinations. We have seen this occur specifically with:  Procedure code combination of 44,71 and Additional Procedure code of 1LR, and a preference code of 115 and 140.</t>
  </si>
  <si>
    <t>Resolved on 27/05/2019</t>
  </si>
  <si>
    <t>077</t>
  </si>
  <si>
    <t>We are aware of some instances where the CDS system mandates a different additional code (DE 6/16) than the one documented in the UK Trade Tariff or EU Commission Customs Union Information Library. We have specifically observed this for the commodity codes 93059100 and 93019000 where additional document 4066 is mandated rather than 4099 as indicated in the documentation published by the EU.</t>
  </si>
  <si>
    <t>078</t>
  </si>
  <si>
    <t>Where an "XX" Document Status Code is declared in DE 2/3, an explanation will be required in the field AdditionalDocument/Name. Declaration will be incorrectly rejected if the &lt;Name&gt; element is not populated for Document Status Code "XX".</t>
  </si>
  <si>
    <t>079</t>
  </si>
  <si>
    <t>On a DMSREJ message, SequenceNumeric is not returned for additional Documents within a goodsItem, meaning there are some error scenarios where it is difficult to identify which goodsItem or additionalDocument is causing the validation failure and error message.</t>
  </si>
  <si>
    <t>Resolved on 23/07/2019</t>
  </si>
  <si>
    <t>080</t>
  </si>
  <si>
    <t xml:space="preserve">A multi-item declaration will be incorrectly rejected if DE 3/1 Exporter is populated in both the header and item levels. As a workaround please enter only one field. Please note that  DE 3/1 should not be populated at both header and item level for a single item declaration, even though it should be allowed for a multi-item declaration. </t>
  </si>
  <si>
    <t>081</t>
  </si>
  <si>
    <t>When multiple declarations are submitted in quick succession, it may cause the Tariff component to timeout and incorrectly reject the declaration. The  DMSREJ message indicates a technical error  (I/O error – timeout waiting for connection).</t>
  </si>
  <si>
    <t>082</t>
  </si>
  <si>
    <t>Sequence Numeric fails to display when two VAT Declaring Parties are submitted at Goods Item Level  (DomesticDutyTaxParty - 55B)</t>
  </si>
  <si>
    <t>Resolved on 06/08/2020</t>
  </si>
  <si>
    <t>083</t>
  </si>
  <si>
    <t>Declaration is incorrectly rejected when document code C100 and document status code RE is used in conjunction with preference code 200, 300, or 400.</t>
  </si>
  <si>
    <t>Resolved on 11/06/2019</t>
  </si>
  <si>
    <t>085</t>
  </si>
  <si>
    <t>“Y” Payment method for the Transport charges method of payment ( D.E. 4/2) is out of scope for this trade test release. For now any one of the Payment Method A,B,C,D,H,Z can be used. This will be available in a future trade test release.</t>
  </si>
  <si>
    <t>086</t>
  </si>
  <si>
    <t>When a declaration is submitted either with an invalid CurrencyCode, or where DE 4/11 Invoice Amount currencyID (e.g. USD) is different from DE 4/14 ItemChargeAmount currencyID (e.g. GBP), an internal CDS error is triggered which causes processing of the declaration to stop, and no notifications are received. Declarations should be submitted with the same Invoice CurrencyID at the Header and Item level so that the declaration is processed correctly. If you do not receive a notification, it is recommended to check the CurrencyID on the submitted declaration to ensure that a valid currency code has been used and that the Invoice CurrencyID at Header and Item level are consistent.</t>
  </si>
  <si>
    <t>087</t>
  </si>
  <si>
    <t>A declaration using procedure code 71 00 (Customs Warehousing) is incorrectly rejected if DE 5/8 Destination Country is GB.</t>
  </si>
  <si>
    <t>088</t>
  </si>
  <si>
    <t>Declarations with Commodity Code 1005900020 are incorrectly rejected with the error message "Preference code is not applicable" (TMSV0013) when Preference Code is 140</t>
  </si>
  <si>
    <t>089</t>
  </si>
  <si>
    <t>Amendment to declarant city successfully applied and declaration cleared but DMSCLE is not generated</t>
  </si>
  <si>
    <t>090</t>
  </si>
  <si>
    <t>CDS throws the error message 'NO special Procedure found' when an attempt is made to delete one out of many special procedures in a declaration within the dwell time</t>
  </si>
  <si>
    <t>091</t>
  </si>
  <si>
    <t>Declarations submitted around midnight at month end could result in the charge month being pushed back by one month due to the acceptance date/BST time being converted to UTC time. E.g. A declaration with  Acceptance Date/Time of 20181001 00:01 could be converted to 20180930 23:01.</t>
  </si>
  <si>
    <t>092</t>
  </si>
  <si>
    <t>Declarations submitted with commodity code '1701141000' are erroring out with the message 'Missing Measurement Unit 123'</t>
  </si>
  <si>
    <t>093</t>
  </si>
  <si>
    <t xml:space="preserve">If the user supplied invalid MRN in declaration status request then 'http 404 error' with a message 'Resource was not found' is returned instead of 'Not found' message. </t>
  </si>
  <si>
    <t>094</t>
  </si>
  <si>
    <t>If the user doesn't supply the MRN in declaration status request then '404 error' with message 'Matching resource not found' is returned instead of '400 error'  with message 'missing or invalid MRN or X-Badge-Identifier'.</t>
  </si>
  <si>
    <t>095</t>
  </si>
  <si>
    <t>The status of an Import Declaration has currently been tested up to 14 days prior. The system is expected to allow Import Declarations to be checked where submitted up to 90 days prior but this is still in system testing</t>
  </si>
  <si>
    <t>Resolved on 24/06/2020</t>
  </si>
  <si>
    <t>096</t>
  </si>
  <si>
    <t xml:space="preserve">Acceptance date is missing in the response for a declaration type C that had been accepted and cleared. </t>
  </si>
  <si>
    <t>Resolved on 28/05/2020</t>
  </si>
  <si>
    <t>097</t>
  </si>
  <si>
    <t>Container ID(7/10) is being mandated even if 7/2 - Container is completed with "0". Please enter "1" in 7/2 and container ID "CONU1234567" in 7/10 to workaround this defect.</t>
  </si>
  <si>
    <t>098</t>
  </si>
  <si>
    <t>To successfully depart type F, C, B, E declarations as a workaround we will require additional data to be entered on the declaration (commodity code, net mass, DeclarationOfficeID). If you only wish to test acceptance and clearance of the declaration without departure/exit then these additional data elements are not required.</t>
  </si>
  <si>
    <t>100</t>
  </si>
  <si>
    <t>Some licence document codes in 2/3 will cause rejection of the declaration if entered on a B or E type declaration. Due to this defect not all licence type document codes are present and therefore some licences will be accepted on type B and E declarations.</t>
  </si>
  <si>
    <t>101</t>
  </si>
  <si>
    <t xml:space="preserve">There are some minor changes required in the goods location code list. Major codes remain unchanged )(e.g. GBAUFXTFXTFXT) however CSE locations are incorrect. To workaround please move "CSE" to the start of the code (e.g. GBBUCSEBRSLFE - Bristol)
</t>
  </si>
  <si>
    <t>102</t>
  </si>
  <si>
    <t xml:space="preserve">CSE Authorisation is mandatory for arrived declaration types (A, B, C) however due to this defect if 1CS 1/11 code is not entered then arrived declaration types can be entered without CSE authorisation.
</t>
  </si>
  <si>
    <t>103</t>
  </si>
  <si>
    <t xml:space="preserve">Please always use GBP as a default currency for "Total Amount Invoiced - Currency(4/11) " field for all submissions. </t>
  </si>
  <si>
    <t>104</t>
  </si>
  <si>
    <t xml:space="preserve">DUCR of a previously rejected pre-lodged declaration of type D,E or F is not available for re-use when it is resubmitted. The re-submitted declarations are rejected with error message "DUCR is found". </t>
  </si>
  <si>
    <t>105</t>
  </si>
  <si>
    <r>
      <t xml:space="preserve">If you try to amend or cancel a declaration when it is not </t>
    </r>
    <r>
      <rPr>
        <sz val="10.5"/>
        <rFont val="Arial"/>
        <family val="2"/>
      </rPr>
      <t xml:space="preserve">in a permissible state to be processed (e.g. it has already cleared), a meaningful error message will not be received. </t>
    </r>
  </si>
  <si>
    <t>106</t>
  </si>
  <si>
    <t xml:space="preserve">For declaration types B and E, although DE's 4/4, 4/5, 4/6, and 4/7 are described as mandatory in the paper tariff, if you provide them the declaration will be rejected. </t>
  </si>
  <si>
    <t>107</t>
  </si>
  <si>
    <t xml:space="preserve">If Net Mass is amended, no response is received (no DMSRES). Therefore Net Mass cannot be amended. </t>
  </si>
  <si>
    <t>108</t>
  </si>
  <si>
    <t>Business Rules validation fails when there is a DUCR declared (as a previous document) at item level ( multiple items) for declarations type Y and Z.  Please only provide DCR as previous document at header level.  At item level  you can use DCS instead.</t>
  </si>
  <si>
    <t>109</t>
  </si>
  <si>
    <t xml:space="preserve">Declarations of type J and K submitted with procedure code 4000 which do not have any value populated in D.E 5/27  for supervising office are getting rejected with business rule error 'Supervising Office is mandatory'. Therefore please populate this data element 5/27 for test purposes. </t>
  </si>
  <si>
    <t>110</t>
  </si>
  <si>
    <t xml:space="preserve">Declarations submitted with Additional Information code 'REV05' in DE 2/2 will be rejected with error message 'The code does not exist in the ImportSpecialMentions list'. Until this issue is resolved, please leave the Additional Information statement blank when submitting declarations of this kind. </t>
  </si>
  <si>
    <t>111</t>
  </si>
  <si>
    <t>The final message in an Exports inventory linking journey (DMSEOG) is not received by the Notifications API for all Exports declaration types. All messages prior to this, up to DMSCLE, are received successfully.</t>
  </si>
  <si>
    <t>112</t>
  </si>
  <si>
    <t>When 2 (or more) amendment messages are submitted, [all the amendments are applied,  but] the Trader Notification (DMSRES) only contains the details of the first Amendment message, and not of any further amendment messages. Therefore, the Trader does not receive confirmation that their second (or more) amendment request has been successfully applied. 
The trader should not send a second amendment until they have received the DMSRES of the first.</t>
  </si>
  <si>
    <t>113</t>
  </si>
  <si>
    <t xml:space="preserve">Impact: in a scenario where inventory linking matching has failed following more than one request to the ILI CSP system, the IRC that is provided in the response from the CSP is duplicated in the DMSREJ (as duplicate AdditionalInformation objects), instead of being included just the once. Although a duplication this has no functional impact. 
</t>
  </si>
  <si>
    <t>114</t>
  </si>
  <si>
    <t>If a trader declares a document status with the document code in DE 2/3 Documents produced, and declares a document reason when it is not required by the document status, then an error will be received and declaration rejected. 
Workaround: Until this defect is fixed do not provide a document reason when it is not required by the document status.</t>
  </si>
  <si>
    <t>115</t>
  </si>
  <si>
    <t xml:space="preserve">Business Impact: Where an electronic DIT or RPA licence has been declared on a declaration, the licence ID must always contain the licence line (part) number separated by a dash. If the first licence line is to be used, or a single line licence is being declared, again, the licence line number must be explicitly declared as 1 (CDS will not default to 0). Should a licence line be omitted, the declaration will be rejected. </t>
  </si>
  <si>
    <t>Resolved on 04/05/2020</t>
  </si>
  <si>
    <t>116</t>
  </si>
  <si>
    <t>Fails on the unhappy path where a DAN does not exist in CDS. Expected result is that the declaration is rejected; however, declaration is accepted without duty calculations completed and not released</t>
  </si>
  <si>
    <t>117</t>
  </si>
  <si>
    <t xml:space="preserve">If the trader submits an amendment with missing information, the DMREJ will point towards something that is absent through the provided sequence numeric. This is contrary to advice previously issued to traders, which stated that a sequence numeric would be absent for non-existent elements. </t>
  </si>
  <si>
    <t>118</t>
  </si>
  <si>
    <t>When claiming VAT relief egg procedure code 61 10 F05 the relief VAT amount in B00 column is incorrect as it doesn't include the customs duty. However, the charged amount will be correct i.e. 0. 
e.g. The item charge amount is 1500.
Vat calculated at 20% and duty calculated at 6.7%
Customs debt - Calculated and Relief columns displays 
Duty - A00 calculated and relieved at 100.50 (1500 x 6.7%)
VAT - B00 calculated and relieved at 300.00 (1500 x 20%)</t>
  </si>
  <si>
    <t>119</t>
  </si>
  <si>
    <t>Export declarations submitted are getting rejected with error message for 'gross mass field'.  Workaround: Until this issue is fixed all the declarations should be submitted with unit code as KGM in DE 6/5.</t>
  </si>
  <si>
    <t>120</t>
  </si>
  <si>
    <t xml:space="preserve">Duplicate error messages are being returned to the submitter when a movement fails location-based authorisation (PDS checks). 
As for non-CSP transactions, CSPs can use a GBBY pre-fixed location code to avoid triggering this error condition e.g. &lt;inv:goodsLocation&gt;GBBYIT301100&lt;/inv:goodsLocation&gt;. We are working to expand the range of location codes and authorised non-CSP test profiles available and these will be enabled in a future phase of Trade Test. </t>
  </si>
  <si>
    <t>121</t>
  </si>
  <si>
    <t>The below mentioned  are the valid document codes, however when entered on a declaration and depending on the status code the licence will be incorrectly validated and the declaration will be  subsequently rejected.
C628
D009
I004
L076
L106
L113
L114
L119
L125</t>
  </si>
  <si>
    <t>122</t>
  </si>
  <si>
    <t>If amended data remains incredible when editing a declaration as a result of an FEC (Front End Credibility) challenge, notification of the recurring challenge will not be received.</t>
  </si>
  <si>
    <t>123</t>
  </si>
  <si>
    <t xml:space="preserve">Contrary to the guidance within the Paper Tariff, CCG Authorisation is mandated on a C21I EIDR Declaration when goods are being placed into a warehouse (Requested Procedure 71). Data completion for CCG Authorisation should be followed relating to the following Data Elements:
• D.E. 2/3 Document Code and Status (if applicable)
• D.E. 3/39 Authorisation Type and Holder
• D.E. 8/2 Guarantee Type
• D.E. 8/3 Guarantee Reference Number
</t>
  </si>
  <si>
    <t>124</t>
  </si>
  <si>
    <t>Tariff data error - third country duty rate is missing from commodity code 3501105090 in Trade Test, therefore please avoid testing with this commodity code</t>
  </si>
  <si>
    <t>125</t>
  </si>
  <si>
    <t>Not all monetary values within the DMSTAX notification to the trader are prefixed with GBP - creating inconsistency in what is presented. We can confirm that all monetary amounts are in GBP</t>
  </si>
  <si>
    <t>126</t>
  </si>
  <si>
    <t>SIV measure is not being applied for the declarations submitted with special procedure code E02 and valuation method 4 for a commodity with SIV measure applicable. Please avoid testing with special procedure code E02 &amp; validation method 4 until this is resolved</t>
  </si>
  <si>
    <t>127</t>
  </si>
  <si>
    <t xml:space="preserve">If a AI code is entered at header level the declaration will be rejected and an error code will be received as per the guidance. However the pointers will be slightly incorrect. Instead of 03A to be present under DocumentSectionCode(Field) it will be present in the TagID section(Subfield). This will cause an issue for traders as the pointer will indicate the error is in a subfield of Additional Information such as Statement Code or Statement </t>
  </si>
  <si>
    <t>128</t>
  </si>
  <si>
    <t xml:space="preserve">Currently no error responses will be generated for any movement messages into ILE which cause error conditions.  This does not affect any negative declaration or consolidation testing  </t>
  </si>
  <si>
    <t>Resolved on 30/09/2019</t>
  </si>
  <si>
    <t>129</t>
  </si>
  <si>
    <t>For any exports declaration If the same DUCR reference is used twice then the second declaration submitted is rejected. This rejected declaration takes precedence over the original declaration in the system and this should not be the case. The DUCR is not removed from the MUCR as expected and MUCR level movements are still permitted.</t>
  </si>
  <si>
    <t>130</t>
  </si>
  <si>
    <t>On an export inventory linking consolidation message, the badge ID will not be passed back to the requestor in responses from CDS. The CSP will therefore not be able to identify from the badge where the response was sent from. Instead this will need to be mapped back from correlation id or similar.</t>
  </si>
  <si>
    <t>131</t>
  </si>
  <si>
    <t xml:space="preserve">When Export declaration is submitted with procedure category B1, B2, B4, C1 it is incorrectly rejected when Declarant and Exporter are the same party.
Workaround: Ensure different EORIs are declared for Declarant and Exporter.
</t>
  </si>
  <si>
    <t xml:space="preserve">
</t>
  </si>
  <si>
    <t>132</t>
  </si>
  <si>
    <t>Export declarations are not getting rejected if the declaration is submitted without supplying a commodity code despite this being mandatory. Until this issue is resolved please enter the commodity code as per the completion guidance while submitting exports declarations.</t>
  </si>
  <si>
    <t>133</t>
  </si>
  <si>
    <t>When using the ILE query service, no ROE or SOE values will be returned at any level of the returned consolidation. The workaround is to use the EAA transaction for the top MUCR in the tree which allows the user to view all of the underlying DUCR ROE and SOE values.</t>
  </si>
  <si>
    <t>134</t>
  </si>
  <si>
    <t>Imports (Applicable to all Declaration types and procedure categories). When an error is triggered relating to D.E. 8/7 a pointer will not be returned to indicate that it is this Data Element that has caused the rejection and the error message is not clear enough for the trader to understand how to correct their declaration in order to get CDS to accept it.</t>
  </si>
  <si>
    <t>135</t>
  </si>
  <si>
    <t>When submitting Import declarations Traders who enter a commodity code with the incorrect format do not get a pointer inside the DMSREJ to the Data Element where the format doesn't match the HMRC requirement.
However since TTM 8.1 was delivered traders do get a unique error code that they can match to the error code description mentioning exactly which Data Element failed validation.</t>
  </si>
  <si>
    <t>Resolved on 10/12/2020</t>
  </si>
  <si>
    <t>136</t>
  </si>
  <si>
    <t>Contrary to guidance in the Paper Tariff, when sending an import declaration, if the trader has declared document type code 1207 in DE 2/3 Documents produced then the trader must also provide the value DE 5/27 Supervising Customs office, or the Declaration will be rejected</t>
  </si>
  <si>
    <t>137</t>
  </si>
  <si>
    <t>Currently only UK supervising office codes (as per Appendix 17 of the CDS Tariff) will be accepted by CDS. If a supervising office for an EU Member State is entered the declaration will be rejected. Further information will follow on when the ability to enter an EU Member State supervising office codes will be available on CDS.</t>
  </si>
  <si>
    <t>138</t>
  </si>
  <si>
    <t>Export movement of goods (dual running with CHIEF) – not all CDS goods location codes have an equivalent code in CHIEF.  While we finalise the mapping,  only the below mentioned goods location codes entered in CDS will be compatible with CHIEF and all other codes will be rejected.  Please confine your testing to these location codes. 
GBAUBHMBHXSLS
GBAUEDIEDIBAC
GBAUEMAEMADHS
GBAUEMAEMASLS
GBAULHRLHRANS
GBAULHRLHRBAC
GBAULHRLHRAAS
GBAULHRLHRACS
GBAULHRLHRAFS
GBAULHRLHRDHS
GBAULHRLHRJLS
GBAULHRLHRNBS
GBAULHRLHRSLS
GBAULHRLHRUAS
GBAUMNCMANPHS
GBAUMNCMANSLS</t>
  </si>
  <si>
    <t>139</t>
  </si>
  <si>
    <t xml:space="preserve">Contrary to guidance in the Paper Tariff, when entering into Inward Processing under Declaration Category I1 or C21I, D.E. 8/6 Statistical Amount must be supplied. </t>
  </si>
  <si>
    <t>140</t>
  </si>
  <si>
    <t>A CCG authorisation is required when submitting a declaration to enter goods into a customs warehouse. This is contrary to the Paper Tariff that stipulates this is not required when there are no duties being secured when entering goods into a Customs Warehouse.
Workaround: Provide a CCG authorisation when using requested procedure 71 on any import declaration (entering goods into a customs warehouse).</t>
  </si>
  <si>
    <t>141</t>
  </si>
  <si>
    <t>For H2 Imports if a trader declares N935 then CDS effectively mandates completion of valuation method even though it is not part of the data set and if the trader completes the valuation method on H2 declaration then the declaration will be rejected. As a workaround trader should not declare N935 with 7100000.</t>
  </si>
  <si>
    <t>143</t>
  </si>
  <si>
    <t xml:space="preserve">When submitting a declaration using one of the requested procedure codes 01, 07, 40, 42, 51, 53, 61 the trader must provide the parent tag (DutyTaxFee) for DE 4/17 preference code .  CDS is not enforcing the provision of this data, so the declaration is accepted, but without it the Duty calculation cannot be completed successfully resulting in a technical error that does not provide the appropriate feedback to the trader.
</t>
  </si>
  <si>
    <t>144</t>
  </si>
  <si>
    <t xml:space="preserve">Providing an incorrect Country code in the Consignor field (D.E. 3/7) results in a rejected declaration, but without the error pointer to the data element that has caused the issue.
Without the pointer, the error code in itself is not descriptive enough to inform the trader how to resolve the problem
</t>
  </si>
  <si>
    <t>145</t>
  </si>
  <si>
    <t>Contrary to EUCDM, H2 Declarations will currently be rejected if D.E. 4/4 - Tax base is declared.</t>
  </si>
  <si>
    <t>146</t>
  </si>
  <si>
    <t xml:space="preserve">When submitting a declaration without Packaging/SequenceNumeric field within the payload, the declaration will not reach CDS and as a result it will not generate declaration id or produce any notifications. As a workaround please include PackagingSequenceNumericType field in submitted declarations
</t>
  </si>
  <si>
    <t>147</t>
  </si>
  <si>
    <t>Please note that erroneous validation rules have been introduced on Declaration Types B and E. These are mandating a number of additional data elements which, if provided, trigger further cross-field validation failures. It is therefore advised to suspend testing of Declaration Types B and E until these problems have been resolved.</t>
  </si>
  <si>
    <t>148</t>
  </si>
  <si>
    <t>Export pre-lodged declarations with a MUCR that fail validation will trigger a imports-related inventory linking notification which should be ignored.</t>
  </si>
  <si>
    <t>149</t>
  </si>
  <si>
    <t>If invalid combinations are declared in D.E. 2/2 Additional Information Codes or D.E. 4/9 Additions &amp; Deductions, the resulting DMSREJ notification will contain an arbitrary pointer and hence will not identify the specific codes that have caused the rejection. The accompanying error message will however help to identify these erroneous combinations.</t>
  </si>
  <si>
    <t>152</t>
  </si>
  <si>
    <t>Where:
1) preference is being claimed but the preference certificate is not available (according to the document status code) leading to a missing document security, and
2) the preferential rate does not require an additional measurement unit, and
3) the non-preferential rate requires an additional measurement unit, and
4) the additional measurement unit has not been provided
The system will be unable to complete the tax calculation and therefore cannot progress through to clearance.
To work around this issue, the measurement unit required for the non-preferential rate should always be provided even when a claim for preference is made.</t>
  </si>
  <si>
    <t>153</t>
  </si>
  <si>
    <t>CDS is currently preventing use of single item declarations with DE 1/11 codes 1LV and 2LV which legitimately have multiple parties indicated by DE 2/2 code 00200 without showing the breakdown by entering each as a separate item. The workaround is to omit DE 2/2 code 00200 with DE 1/11 codes 1LV and 2LV on single item declarations until this is resolved.</t>
  </si>
  <si>
    <t>154</t>
  </si>
  <si>
    <t>Please note system cannot handle acceptance dates or Y/CLE prior to January 2000. Therefore please avoid any including this in any test scenarios.</t>
  </si>
  <si>
    <t>155</t>
  </si>
  <si>
    <t>Currently amending declarations that include a MCR does not result in inventory linking until the declaration is arrived by means of an arrival or goods presentation notice</t>
  </si>
  <si>
    <t>156</t>
  </si>
  <si>
    <t>Failing to provide a party name in Data Element 3/1 when submitting a type J or type K declaration using dataset C21I will result in CDS rejecting the declaration incorrectly.</t>
  </si>
  <si>
    <t>161</t>
  </si>
  <si>
    <t>CDS is requiring DE 4/7 to be declared on each Tax Line for a goods item, i.e. multiple instances of DE 4/7, if one of the Tax lines contains D.E. 4/6 ("OVR01"). It should only require (at least) one DE 4/7 per goods item"</t>
  </si>
  <si>
    <t>164</t>
  </si>
  <si>
    <t>When a pre-lodged declaration for exports has previously been accepted, but the EAL/arrival notice is rejected, if a further / re-submitted pre-lodged export declaration quotes the LRN contained in the original declaration, it will prevent any further processing and no notifications will be generated
In this scenario, if you use a different LRN when lodging a second pre-lodged declaration, this will enable the declaration to be processed in the system and the notifications will be received accordingly.</t>
  </si>
  <si>
    <t>167</t>
  </si>
  <si>
    <t>A movement reference must be used in all movement requests. If a movement reference is not used then a response may not be sent back to the Loader.</t>
  </si>
  <si>
    <t>169</t>
  </si>
  <si>
    <t>If an export declaration is successfully submitted but is not departed within 45 days, a DMGER reminder notification will be received, but it does not include the due date for the departure message.</t>
  </si>
  <si>
    <t>170</t>
  </si>
  <si>
    <t>For an EAA request on a MUCR, if an error is received from CHIEF and a positive response (EMR) is received from ILE (or vice versa) then only the error response should be sent back in response to the EAA. But if CDS receives the positive response first, it will erroneously send that response instead.</t>
  </si>
  <si>
    <t>171</t>
  </si>
  <si>
    <t>1. All push notification exceptions are handled using retries (even those that are unlikely to be automatically resolved) and there is no escalation mechanism to highlight continuing retry failures. End user issues other than intermittent errors are therefore unlikely to be resolved, unless/until the end users raise a TT &amp;/or helpdesk call for manual HMRC investigation.
2. All push notification exceptions 'block' the communications channel, so any existing error will prevent end users from receiving any further push notifications until it is resolved.</t>
  </si>
  <si>
    <t>172</t>
  </si>
  <si>
    <t>A CCG Authorisation Document Code (C505) must be declared when exiting customs warehouse (previous procedure 71) when it is not actually required as per the Paper Tariff.</t>
  </si>
  <si>
    <t>173</t>
  </si>
  <si>
    <t>When a trader submits a declaration that includes an Additional Document Identifier (D.E. 2/3) with a length of more than 60 characters, the declaration will not be registered in CDS, and the trader will not receive a DMSACC or DMSREJ message.
The Paper tariff that is published does mention that the length of this Data Element should not exceed this limit (Paper tariff indicates the length of this field is an..35).
If a declaration with an ID in DE 2/3 with more than 60 characters is encountered then declaration is not processed any further in CDS and the trader does not get feedback from the system to tell him what has happened to the declaration.</t>
  </si>
  <si>
    <t>174</t>
  </si>
  <si>
    <t>Contrary to the Import Declaration Completion Guide, the system will mandate multiple instances of D.E. 4/17 Preference (i.e. &lt;DutyRegimeCode&gt;) where multiple &lt;DutyTaxFee&gt; objects are declared.</t>
  </si>
  <si>
    <t>175</t>
  </si>
  <si>
    <t>Wherever an amendment for an inventory linked declaration encounters a negative response to the validate movement request, the resulting DMSREJ will not contain any errors. The issue applies to an amended declaration regardless of whether it is pre-lodged or arrived. For example, where the amendment requested is to add a MCR to a pre-lodged inventory-linked declaration, following a negative response to a validateMovementRequest the declarant will be unable to see from the DMSREJ the cause and details of the rejection, nor the validation results of the validateMovement protocol. (The only circumstances in which a DMSREJ notification should be returned without error codes is for a pre lodged invalidation notification)</t>
  </si>
  <si>
    <t>176</t>
  </si>
  <si>
    <t>DE 5/14 Country of dispatch is mandatory at either header or item level on a C21i, other than those using DE 1/10 codes 0008 and 0009, but CDS is currently mandating completion at both levels. The workaround is for traders to complete at both header and item levels until this is resolved. Note: this does not impact C21iEIDR.</t>
  </si>
  <si>
    <t>177</t>
  </si>
  <si>
    <t xml:space="preserve">When the trader enters an invalid measurement unit code in D.E. 4/4; the DMSREJ will return a pointer showing "129" (D.E. 4/4) as a "DocumentSectionCode" (i.e. the parent object) instead of the correct representation of a "TagID" (i.e. the specific Data Element). </t>
  </si>
  <si>
    <t>178</t>
  </si>
  <si>
    <t>Entering a value greater than 9999999 in DE 6/18 (Total number of packages in the declaration) on a pre-lodged declaration results in the declaration not being accepted in CDS upon the receipt of a Goods Presentation Notice, without sending a notification back to the trader.
The length of this field should be n..8 (up to 99999999 total packages)
Workaround: In the event that a trader has 10 million or more packages then they will have to split this over a number of declarations</t>
  </si>
  <si>
    <t>179</t>
  </si>
  <si>
    <t xml:space="preserve">
If the Trader triggers a rule relating to D.E. 8/7 Writing Off - Date of Validity the tagID returned in the pointer of the DMSREJ will indicate the issue relates to "D005", which actually maps to D.E. 2/3 Additional Document Identifier. This will cause confusion as to what has triggered the rejection.</t>
  </si>
  <si>
    <t>180</t>
  </si>
  <si>
    <t xml:space="preserve">Entering only one character as the identifier (AEOMutualRecognitionParty) in the D.E. 3/37 field has highlighted a fault that has resulted in CDS being unable to process the declaration and send trader notifications. In the meantime please refer to the CDS declaration completion guide regarding data to be entered in D.E. 3/37 (First component: Role Code &amp; Second component: Identification number of the party).
</t>
  </si>
  <si>
    <t>181</t>
  </si>
  <si>
    <t xml:space="preserve">
When an inventory linked declaration triggers the validate movement protocol and a validateMovementResponse is sent to CDS from ILE that does not include an ID field, CDS cannot consume the message and the declaration does not continue to process. This issue occurs because this ID field is not mandated in the schema for this message type for ILE, but it is for CDS.
Workaround: For the time being, ILE should only send validateMovementResponse with the response ID field populated so that DMS is able to consume the message and continue to process the declaration.
</t>
  </si>
  <si>
    <t>182</t>
  </si>
  <si>
    <t>Import Declaration submitted with  commodity code 2203000100,excise code X441 and specific tax based quantities of 1 LPA should be rejected , where as declaration is being cleared with no duties calculated.</t>
  </si>
  <si>
    <t>183</t>
  </si>
  <si>
    <t>Trader will receive the MRN in the trader Reference when they have not populated  Data Element 2/4 in the declaration. The change will be made in the future release so that if Element 2/4 in the declaration is not populated, trader Reference will be omitted from the InventoryLinkingImportsValidateMovementRequest.traderReference message.</t>
  </si>
  <si>
    <t>Resolved on 04/03/2020</t>
  </si>
  <si>
    <t>184</t>
  </si>
  <si>
    <t>Type Y import declaration submitted with Preference Code 300 at header level with "missing document" status code is failing to calculate duty and returning an error. To avoid this error please include all additional units that are required for the non-preferential duty rate (preference code 100, 200 etc).</t>
  </si>
  <si>
    <t>185</t>
  </si>
  <si>
    <t xml:space="preserve">Rejection on IPR ex Warehouse declaration (procedure code 51 71) : Type U Warehouse Authorisation is invalid or does not belong to the Importer.
Delivered goods can only be removed from a private (type U) customs warehouse if the declared importer is the holder of the warehouse authorisation. There is no workaround that would enable goods to be released from a private customs warehouse to an IP authorisation holder who wasn't also the holder of the private customs warehouse authorisation.
</t>
  </si>
  <si>
    <t>186</t>
  </si>
  <si>
    <t>When attempting to add a previous document at goodsItem level through an amendment will result in CDS rejecting the amendment request</t>
  </si>
  <si>
    <t>187</t>
  </si>
  <si>
    <t>There are 5 EORIs set up in the Trade Test Immediate Payment System emulator which do not confirm to the standard GB+12 format as they are GB+9 - see below. Work is in progress to provide a set of EORIs and authorisation numbers in the right format in trade test.
GB725115003 Supports Immediate Payments (£988.00)
GB725115004 Supports Immediate Payments (£1100.00)
GB725115005 Supports Immediate Payments (£500.00)
GB725115006 Supports Immediate Payments (no payment)
GB725115007 Supports Immediate Payments (£10000.00)</t>
  </si>
  <si>
    <t>188</t>
  </si>
  <si>
    <t>When Preference  code isn't provided on a H4 Declaration, the Declaration is rejected and the pointer indicates 50A / DutyTaxFee is missing, rather than pointing to the specific element within the DutyTaxFee object (Preference). Therefore, the Trader is unaware which component of the DutyTaxFee object is missing.</t>
  </si>
  <si>
    <t>189</t>
  </si>
  <si>
    <t>Both Requested Procedure (D.E. 1/10) and Additional Procedure (D.E. 1/11) returned code “166” in the pointer when an error is identified relating to these Data Elements. There is nothing to indicate which DE (1/10 or 1/11) has caused the issue, as both return the same code of 166 in the DMSREJ, though for 1/11 the pointer includes a sequence numeric (to indicate which APC is causing the issue). This makes it difficult for the Trader to determine which Data Element has caused the issue</t>
  </si>
  <si>
    <t>Resolved on 15/10/2020</t>
  </si>
  <si>
    <t>This is not a defect as the two data elements are not separately identified in the WCO Data Model or EU CDM.  CDS will be  upgraded to a new version of the Data Model in 2021, at which point this will be resolved</t>
  </si>
  <si>
    <t>190</t>
  </si>
  <si>
    <t>If a declarant provides more than one MUCR at header level in the Declaration, or an amendment is requested for a Declaration which results in that Declaration containing more than one MUCR, the declaration will be held in an errored state and will fail to progress or generate subsequent trader notifications. A MUCR should only be declared once at header level.</t>
  </si>
  <si>
    <t>191</t>
  </si>
  <si>
    <t>Slightly different DUCR format validation rules are being applied to initial declaration submissions to CDS and movement and consolidation requests to ILE.  This can lead to a consolidation request being rejected. To avoid this all arrived and pre-lodged declaration DUCRs and MUCRs need to be submitted using the same schema and business format validations as per BAU movement and consolidation requests.</t>
  </si>
  <si>
    <t>192</t>
  </si>
  <si>
    <t>When submitting a declaration, you must submit a Country of dispatch (D.E. 5/14) at either Goods Item or Header level. If both or neither are submitted, the declaration is being correctly rejected however the pointers returned in the error message are inconsistent. The header is returning the correct parent tag (95B), whereas the item is returning the incorrect child tag (062), as we are expecting them both be 95B.</t>
  </si>
  <si>
    <t>193</t>
  </si>
  <si>
    <t>1PS and 2PS were introduced as part of the D1ND Parcels solution. The D1ND features are supposed to be removed from 2.6.0, but the work to remove this was incomplete. If the Trader attempts to use D.E. 1/11 Additional Procedure Codes "1PS" or "2PS", which are only applicable in a D1ND scenario, a technical exception will occur (Declaration is "stuck") and the Trader will not receive any notifications from CDS.</t>
  </si>
  <si>
    <t>194</t>
  </si>
  <si>
    <t>When a rejecting value is declared in DE 7/10 at item level, the resulting DMSREJ message does not identify the specific offending element due to the lack of a SequenceNumeric.</t>
  </si>
  <si>
    <t>195</t>
  </si>
  <si>
    <t xml:space="preserve">
On a declaration where both duty and VAT are suspended, the VAT tax base (ValueForVAT) calculated by CDS and returned in the DMSTAX differs from CHIEF. CDS includes the customs duty in the VAT tax base (even though duty is suspended) and CHIEF does not. This leads to a different (higher) figure on the Bill of Discharge, but only has financial impact should the charges be brought to account. 
For example on a 5100F44 entry where duty (suspended) is £1102.50 
CHIEF might return Value for VAT of £28150.00, where CDS returns £29252.50 (CHIEF V4V £28150.00 + Duty £1102.50) . 
A declaration to Inward Processing doesn’t create a customs duty point so neither duty nor Import VAT is chargeable. However CDS calculates the tax base as if the goods were diverted from their Special Procedure to Free Circulation; when Customs duty would be due, and Import VAT would be charged on the Customs Value plus the duty, 
We believe the CDS interpretation is correct and this is not a defect (although it differs from CHIEF), but we are seeking further Policy confirmation before removing this from the KEL. </t>
  </si>
  <si>
    <t>Closed - Not a Defect - 22/07/2021</t>
  </si>
  <si>
    <t xml:space="preserve">We believe CDS is working correctly. Policy advice is that the VAT calculation should be the same as if there had been no duty suspension in the first place, so that in the event of the VAT becoming payable the full amount is charged.  Therefore we are not proceeding with a CR to align CDS to CHIEF.  However there is more than one interested Customs policy areas so until we have clear direction from all (confirming no CR is needed) the KEL will remain open.    </t>
  </si>
  <si>
    <t>196</t>
  </si>
  <si>
    <t xml:space="preserve">The CDS 03 CDS Code lists and WCO References indicates that Importer, Declarant and Exporter WCO IDs for Name and ID are R037 and R038 respectively. These tags are only correct for Importer.
There is a DMS defect that affects the Declarant, and documentation defects for both Declarant and Exporter. 
We will advise the DMS and documentation fix dates when these are known.
For clarification please see the attached table. 
</t>
  </si>
  <si>
    <t>199</t>
  </si>
  <si>
    <t xml:space="preserve">An amendment request with a combination of data elements / fields DE 3/17 City and DE 3/18 Id has been successfully applied however this has highlighted a fault resulting in the DMSCLE trader notification not being generated. </t>
  </si>
  <si>
    <t>201</t>
  </si>
  <si>
    <t xml:space="preserve">System is incorrectly mandating completion of DE 4/17 Preference Code, on all I1 declarations using requested procedure codes 01,07,40, 42, 51, 53 and 61. The workaround is for DE 4/17 to be completed on I1 declarations using these requested procedure codes, even when the Tariff completion requirements do not mandate it.
</t>
  </si>
  <si>
    <t>202</t>
  </si>
  <si>
    <t>A declaration must be submitted with UCR references which match the following validation rules (this is as per the service design). If the UCR references are not as per the schema validation provided below then no rejection or acceptance notification will be returned to the trader.
DUCR
All alphas used must be upper case
First character to be a number
Second and Third character to be alpha (upper case only)
16th digit to be a hyphen
Post the hyphen any character is allowed but any alphas must be upper case
[0-9][A-Z][A-Z][0-9A-Z\(\)\-/] {6,32}
|
MUCR
All alphas used must be upper case
First character to be an alpha character
GB/[0-9A-Z] {3,4}
-[0-9A-Z]
{5,28}
GB/[0-9A-Z] {9,12}
-[0-9A-Z]
{1,23}
A:[0-9A-Z] {3}[0-9]{8}
- C:[A-Z]{3}
[0-9A-Z]
{3,30}</t>
  </si>
  <si>
    <t>203</t>
  </si>
  <si>
    <t>CDS will currently incorrectly accept Declaration Types A, B, C, D, E, F, J and K with an Acceptance Date (AcceptanceDateTime or PreviousDocument/TypeCode of CLE) declared.</t>
  </si>
  <si>
    <t>204</t>
  </si>
  <si>
    <t>When triggering a validation error relating to D.E. 8/7 Date of validity, the DMSREJ will return a pointer to 02A/D005, instead of 02A/276.
Impact: Trader would be led to believe the issue related to their D.E. 2/3 Additional Document ID (D005) instead of the D.E. 8/7 Date of validity.</t>
  </si>
  <si>
    <t>205</t>
  </si>
  <si>
    <t>Pointers (in Amendments and Errors) to AdditionalDocument/WriteOff/QuantityQuantity currently translate to WCO IDs 02A/22C/145 whereas they should translate to 02A/22C/502.
Until this is fixed, amendments to elements under AdditionalDocument/WriteOff/QuantityQuantity will need to include pointers to 02A/22C/145.</t>
  </si>
  <si>
    <t>206</t>
  </si>
  <si>
    <t>Pointer 04A for GoodsLocation/Address is not being recognised by DMS.  Pointers (in Amendments and Errors) to GoodsLocation/Address currently translate to WCO IDs 64A/64A whereas they should translate to 64A/04A.
Until this is fixed, amendments to elements under GoodsLocation/Address will need to include pointers to 64A/64A.</t>
  </si>
  <si>
    <t>207</t>
  </si>
  <si>
    <t>When using Additional Procedure Code 63P (which can only be used with procedure codes 4200 and 4271, to claim RGR with OSR and Excise duty suspension), CDS is charging excise duty and VAT, which should have been suspended under Onward Supply Relief. The workaround will be to use a manual override to enter the amounts on the tax lines and show the excise duty and VAT as 0.00.
Similar system behaviour exists when Additional Procedure Codes ‘F21’ or ‘F22’ are used with a Procedure Code in the 42xx series and the same workaround (as shown above) must be used.
A permanent fix will be included in a later release.</t>
  </si>
  <si>
    <t>Closed - not a defect - 10/02/2022</t>
  </si>
  <si>
    <t>KEL 207 has been determined to not be a defect; however, this will be adopted by a future CDS Suspension and Relief feature. This has been identified as a known difference between the Paper Tariff and CDS. We ask that you continue to track this issue as KD92 in the 'Known Differences Between CDS and the UK Trade Tariff - April Edition' document on the HMRC Developer Hub.</t>
  </si>
  <si>
    <t>209</t>
  </si>
  <si>
    <t>Where an amendment has been submitted within the dwell timer, which is rejected, and a subsequent amendment is submitted after the end of the dwell timer, this second amendment is accepted.  The system then uses the pre-amendment version of the declaration as the basis for the tax calculation, and any calculation-related amendments e.g. to D.E. 4/11 or D.E. 4/14 made in that second amendment will not be reflected in the tax calculation result</t>
  </si>
  <si>
    <t xml:space="preserve">This defect has been fixed in the December release, by the change to provide a pre-dwell-time indicative duty calculation. </t>
  </si>
  <si>
    <t>210</t>
  </si>
  <si>
    <t xml:space="preserve">Where amended data values are returned in the DMSRES trader notification, empty placeholder elements to denote the implicit sequence number of the amended data values are not included in the payload. 
For example, where the second PreviousDocument's identifier has been amended, and not the first PreviousDocument, the corresponding identifier in the DMSRES is returned in what appears to be the first PreviousDocument. The amended values should be returned in the DMSRES preceded by any required empty elements, to denote the sequence number of the corrected object, in the same way the amendment request message is structured.  
</t>
  </si>
  <si>
    <t>211</t>
  </si>
  <si>
    <t>As part of the currency conversion process, the rates published on the gov.uk website (at 4 decimal places) are inverted and multiplied by the foreign currency amount to arrive at a GBP equivalent amount. There is currently intermediate rounding in this process which leads to loss of precision in the tax calculation and for larger values leads to discrepancies in the amounts of customs debt calculated between CDS and CHIEF.</t>
  </si>
  <si>
    <t>Closed - Not a Defect - 07/04/2022</t>
  </si>
  <si>
    <t>Examination identified that CDS is already providing the functionality requested here.</t>
  </si>
  <si>
    <t>213</t>
  </si>
  <si>
    <t xml:space="preserve">If the Declaration Reference (Declaration/ID) specified in a Goods Arrival message does not match the MRN of an existing Declaration the Goods Arrival message will not be processed, and the Trader will not be notified.
The expected result in this scenario is that the Goods Arrival message is rejected and the Trader is notified via a DMSREJ notification
</t>
  </si>
  <si>
    <t>214</t>
  </si>
  <si>
    <t>Exports declarations where the GoodsLocation/Address is amended (either as correction message or goods presentation message) and then arrived with EAL do not clear and are stuck at Customs Determined Position in ILE. The same location code for the pre-lodged declaration will need to be used for the EAL</t>
  </si>
  <si>
    <t>215</t>
  </si>
  <si>
    <t>Completion of D.E. 6/2 (Supplementary Units) should not be allowed on Type B or Type E declarations. However, for this phase of Trade Test, Type B and Type E declarations where D.E 6/2 is completed will be accepted. A future release of Trade Test will reject Type B or Type E declarations where D.E. 6/2 is completed.</t>
  </si>
  <si>
    <t>216</t>
  </si>
  <si>
    <t>For this phase of Trade Test, when submitting a declaration using a licence, please ensure the licence part number is appended to the Licence ID on the declaration. Failure to do so will result in the declaration not clearing.
A Licence Part is declared by appending a hyphen “-” followed by the Licence Part to the Licence Identifier. Should a Licence Part not be declared, or the Licence Part does not correspond to a Licence Line on the Licence, the declaration not will not clear</t>
  </si>
  <si>
    <t>217</t>
  </si>
  <si>
    <t>Where D.E. 4/8 has not been declared on the first goods item, but an immediate method of payment code has been declared in D.E. 4/8 on a subsequent goods item, this will be ignored, and the system will assume an account-based method of payment.
As a work-around, D.E. 4/8 should be provided on the first goods item (in a Standard 'DutyTaxFee' object) if the intent is to use an immediate method of payment.</t>
  </si>
  <si>
    <t>218</t>
  </si>
  <si>
    <t>If more than one D/E 4/17 is supplied per Goods item (contrary to the Declaration Completion Guidance), they will receive 2 errors in the DMSREJ notification for the same issue, rather than one.</t>
  </si>
  <si>
    <t>220</t>
  </si>
  <si>
    <t>Export declaration submitted with document code Y957 will be rejected where as it should be accepted and cleared. This will be fixed in the future release.</t>
  </si>
  <si>
    <t>221</t>
  </si>
  <si>
    <t>When testing against the Quota Emulator in this phase of Trade Test, only 3 trader notifications will be received (DMSACC, DMSTAX and DMSCLE) rather than the expected return of 5 (DMSACC, DMSROG, 2xDMSTAX, DMSCLE). This is a priority error which we intend to rectify in the near future.</t>
  </si>
  <si>
    <t>222</t>
  </si>
  <si>
    <t>When an message (BMAR) for a MUCR is sent in Trade Test, it updates the status of the declarations inside the consolidation (e.g. to departed), but the BMAR transaction is not listed for those declarations on the CHIEF LIEV screen</t>
  </si>
  <si>
    <t>223</t>
  </si>
  <si>
    <t>Imports declarations submitted with Commodity code ‘0207141000’ and Country of Origin ‘BR’  will not be cleared and the duty calculations  will not be returned. This issue will be fixed in a  future CDS release.</t>
  </si>
  <si>
    <t>224</t>
  </si>
  <si>
    <t>When the trader fails to comply with validation requirements relating to D.E. 4/9 Additions and Deductions - Amount, D.E. 6/5 Gross Mass or D.E. 4/5 Tax Rate ; the DMSREJ will return a pointer showing "181" (D.E. 4/9) / "126" (D.E. 6/5) / "115" (D.E. 4/5) as a "DocumentSectionCode" (i.e. the parent object) instead of the correct representation of a "TagID" (i.e. the specific Data Element).</t>
  </si>
  <si>
    <t>225</t>
  </si>
  <si>
    <t>Seals (DE 7/18) information related to container is required at header level on an EXD frontier export declaration. 
When Seals (DE 7/18) are incorrectly omitted from a frontier export declaration, the resulting error pointers will not identify DE 7/18 as the culpable element if its parent (Transport Equipment) tag has also been omitted from the declaration.</t>
  </si>
  <si>
    <t>226</t>
  </si>
  <si>
    <t xml:space="preserve">
When submitting a declaration with no containers (‘0’ is entered in DE 7/2 Container), if a container ID is incorrectly provided in DE 7/10 (Container Identification Number) then a DMSREJ will be correctly triggered. The DMSREJ will however always reference multiple rules which is superfluous. Going forward, only a single rule will be triggered.</t>
  </si>
  <si>
    <t>227</t>
  </si>
  <si>
    <t>D.E. 4/9 Additions and Deductions codes AN, AO, BG and BK should not be allowed at header level. Appendix 10 of CDS Completion Guide indicates they should only be declared at item level. 
Trader is incorrectly able to declare D.E. 4/9 codes AN, AO, BG and BK at header level. 
When D.E. 2/3 Additional Document C504 has been declared, this is incorrectly mandated and trader must complete D.E. 4/9 at header level, with one of AN, AO, BG or BK</t>
  </si>
  <si>
    <t>228</t>
  </si>
  <si>
    <t xml:space="preserve">Import Declarations submitted with Non UTF-8 characters should be rejected by CDS.  Instead, they fail validation but no response is sent to the trader. Workaround: submit declarations with UTF-8 characters in it only until the issue is fixed. </t>
  </si>
  <si>
    <t>Resolved on 08/06/2020</t>
  </si>
  <si>
    <t>229</t>
  </si>
  <si>
    <t>Where a pre-lodged inventory-linked import declaration has been successfully matched in the inventory system, if (once goods have been arrived/presented) a different answer is received from the inventory system (to indicate that the movement matching fails), the declaration enters a conflicted state.
Following a successful correction (which results in an inventory match), CDS acknowledges that the UCN on the declaration has arrived and sends a Status notification to the CSP, but a DMSACC trader notification is not sent at the same time and the declaration does not proceed to tax calculation and clearance.
1 hour following the initial mismatch, the system will attempt to revalidate the movement, and when this results in a match, a DMSACC trader notification is sent at this point
This issue will be investigated further. In the meantime there is no workaround for this issue so the advice is to cancel and resubmit the declaration</t>
  </si>
  <si>
    <t>230</t>
  </si>
  <si>
    <t>When a trader enters a name/address in DE 3/26 (Buyer name and address) on an import declaration in a goods item, they are incorrectly prevented from entering an ID in DE 3/27 in another goods item and are mandated to declare DE 3/26 in each and every goods item. This information will need to be entered until this is fixed.</t>
  </si>
  <si>
    <t>231</t>
  </si>
  <si>
    <t>When the trader enters a name/address in DE 3/7 (Consignor Name and Address) on an export declaration goods item, they are incorrectly prevented from entering an ID in DE 3/8 in another goods item and are mandated to declare DE 3/7 in each and every goods item. This information will need to be entered until this is fixed.</t>
  </si>
  <si>
    <t>232</t>
  </si>
  <si>
    <t>Query by MRN is Case Sensitive. The input parameter for the query must be an exact match (case sensitive) to the declaration data for the query to be successful. If e.g. lower-case characters are substituted for upper case characters then a "not found" error will be returned.</t>
  </si>
  <si>
    <t>233</t>
  </si>
  <si>
    <t>When user amends the Category Code and Type Code of an additional document DE 2/3 with two different statement descriptions then in the DMSRES Trader notification message, first statement description provided would be ignored.
Work-Around: Advise user/submitter to provide the same statement description when amending/correcting Additional Document : Category Code and Type Code instead of two different statement descriptions</t>
  </si>
  <si>
    <t>Resolved on 27/01/2021</t>
  </si>
  <si>
    <t>234</t>
  </si>
  <si>
    <t>The method valuation 1 should not be used yet for SIV/SPV as Security calculation is incorrect.</t>
  </si>
  <si>
    <t>236</t>
  </si>
  <si>
    <t>For a subset of error codes related to electronic licensing, an Error/Description will be populated alongside the usual Error/ValidationCode in the DMSREJ Trader Notification.
*Error Code* *Error Description*
CDS70711 Licence Error: Electronic licence does not exist
CDS70719 Licence Error: Electronic licence quoted although Document Status Code indicated paper licence
CDS70724 Licence Error: Licence is not valid
CDS70791 Licence Error: Licence line number does not exist on the licence
CDS71216 Licence Error: Licence status must be "Open", "Pending Exhausted", or "Pending Surrendered"</t>
  </si>
  <si>
    <t>237</t>
  </si>
  <si>
    <t>If a declaration with a quota claim for a closed quota is submitted, DMS correctly REJECTS the declaration, however DMSREJ notification to the trader [and DMSUI] shows reason as EXHAUSTED.</t>
  </si>
  <si>
    <t>238</t>
  </si>
  <si>
    <t>If the Declaration Reference (Declaration/ID for non-inventory-linked arrivals, or MRN for inventory-linked import arrivals) specified in a Goods Arrival message does not match the MRN of an existing Declaration, the Goods Arrival message will not be processed but the Trader will not be notified.</t>
  </si>
  <si>
    <t>240</t>
  </si>
  <si>
    <t>Indirect Exports - Currently no Anticipated Export message will be generated by a K/J declaration and status will not show as "goods exported", irrespective of an office of exit has been provided or not. This is because CDS is unable to populate all mandatory Indirect Exports data from a C21 and so J/K exports are currently configured to auto-depart.</t>
  </si>
  <si>
    <t>241</t>
  </si>
  <si>
    <t>When testing Imports Inventory linking, there will be 2 DMSDOC notifications received when only one should be expected.</t>
  </si>
  <si>
    <t>242</t>
  </si>
  <si>
    <t xml:space="preserve">Declaration will remain stuck in received if submitted with an invalid currency type.This will also occur if a future acceptance date is declared </t>
  </si>
  <si>
    <t>243</t>
  </si>
  <si>
    <t>When submitting a Type A,B,D,E,Y,Z imports declaration, an error will be correctly thrown if a country of dispatch is not entered in DE 5/14 at Header or Item level. The error pointers contained within the DMSREJ however are inconsistently displayed – a tag ID is included for DE 5/14 at Header level but not at Item level.</t>
  </si>
  <si>
    <t>244</t>
  </si>
  <si>
    <t>A trader is currently able to enter a number in the rate field within Duty Tax Fee (DE 4/5) that is greater than the maximum allowed (17 digits long,  or more than 3 digits long after the decimal place). The declaration is not rejected but a trader notification is not sent</t>
  </si>
  <si>
    <t>245</t>
  </si>
  <si>
    <t>When submitting an Export declaration with only Badge ID as submitter and no EORI in the API header, the declaration gets stuck in 'Received' State. An Imports declaration with Badge ID alone can be successfully submitted, but for Exports an EORI is still required, either alone or with a Badge</t>
  </si>
  <si>
    <t>246</t>
  </si>
  <si>
    <t>If you submit an incorrectly formatted invalidation request or other supplementary message (e.g. incorrect pointers in AdditionalInformation) this may not be detected by Digital API validation and will get stuck before reaching DMS. No DMSREJ notification is received. To avoid this, please follow the formats of the previously shared sample messages (trade test scenarios) resulting in DMSREJ and DMSINV</t>
  </si>
  <si>
    <t>247</t>
  </si>
  <si>
    <t>No trader notifications are issued from CDS where a licence is declared, and any of the following scenarios occur:
1)	Document status codes ‘EE’ or ‘ES’ are used on a licence that is already pending exhaustion or surrender
2)	An import licence is used on an export declaration, or vice versa
3)	A licence is used multiple times on the same declaration, and different document status codes are used
4)	A single-use licence is declared without using the document status codes ‘EE’ or ‘ES’ to exhaust or surrender the licence</t>
  </si>
  <si>
    <t>249</t>
  </si>
  <si>
    <t>Where a CDS40011 error has been triggered for a missing Quota Order ID (D.E. 8/1), the pointer will incorrectly point to AdditionalInformation instead of QuotaOrderID.</t>
  </si>
  <si>
    <t>250</t>
  </si>
  <si>
    <t>When a pre-lodged declaration for imports has previously been accepted, but the GPN (arrival notice) is rejected, if a further / re-submitted pre-lodged import declaration quotes the LRN contained in the original declaration it should be rejected (as a duplicate LRN).  Instead, processing stops and no notifications will be generated</t>
  </si>
  <si>
    <t>251</t>
  </si>
  <si>
    <t>Where D.E. 4/8 has not been declared on the first goods item, but an immediate method of payment code has been declared in D.E. 4/8 on a subsequent goods item, this will be ignored, and the system will assume an account-based method of payment. 
As a work-around, D.E. 4/8 should be provided on the first goods item (in a Standard 'DutyTaxFee' object) if the intent is to use an immediate method of payment.</t>
  </si>
  <si>
    <t xml:space="preserve">Duplicate of KEL 217 </t>
  </si>
  <si>
    <t>252</t>
  </si>
  <si>
    <t>Validation is currently preventing use of an agent's or representative's deferment account with direct representation. Until this can be resolved the only deferment account that can be used with direct representation, is an account belonging to the importer. Timescales for the fix to be advised.</t>
  </si>
  <si>
    <t>253</t>
  </si>
  <si>
    <t>Exports Dual Running :When an EAL or EAA is received for a MUCR. If an error is received from CHIEF and a positive response (EMR) is received from ILE (or vice versa), then only the error response should be returned. Currently, CDS will return the EMR and the error response; the EMR is spurious in this scenario and should not be returned.</t>
  </si>
  <si>
    <t>254</t>
  </si>
  <si>
    <t>Currently when Declaration Management API call is invoked, requester would not be receiving custom office related details (DE 5/26 and DE 5/27)</t>
  </si>
  <si>
    <t>255</t>
  </si>
  <si>
    <t>Under stress (peak load testing), due to a known database constraint, a declaration failed to be written to the database. If this occurred, the declaration would get stuck in DMS and Trader would not receive any notifications. Declaration could not be re-played/processed and would need to be resubmitted"</t>
  </si>
  <si>
    <t>256</t>
  </si>
  <si>
    <t>The number of packages detail in the ILE query service may be incorrectly calculated when returned from CDS</t>
  </si>
  <si>
    <t>257</t>
  </si>
  <si>
    <t>If an ILE query service request is sent for a rejected declaration then no response will be sent from CDS.</t>
  </si>
  <si>
    <t>258</t>
  </si>
  <si>
    <t>An erroneous ICS code could be provided in the query service when the declaration is not invalidated. The ICS should only be provided when the declaration is invalidated (SOE 4). Any ICS provided against other SOEs should be ignored.</t>
  </si>
  <si>
    <t>259</t>
  </si>
  <si>
    <t>Where multiple amendments are made to a 99 item declaration a 202 error is received on the amendment with no further notifications or processing. 
Workaround - Recommend not to add a large number of items on a single declaration if there’s a high risk of needing to make multiple amendments</t>
  </si>
  <si>
    <t>260</t>
  </si>
  <si>
    <t>When reasons for amendment are communicated in AdditionalInformation elements in the DMSRES trader notification, they should point to the related Amendment objects in the same notification. Currently, the system does not form these Pointer objects correctly as the sequence number of the Amendment object being pointed to is being mapped into the SequenceNumeric element of a Pointer object where DocumentSectionCode is 07B (indicating the sequence number of the Response object), whereas it should be mapped into a second Pointer object where DocumentSectionCode is 06A (indicating the sequence number of the Amendment object).
For example, where the following should be how to point to the second Amendment object:
&lt;_2_1:Pointer&gt;
    &lt;_2_1:SequenceNumeric&gt;1&lt;/_2_1:SequenceNumeric&gt;
    &lt;_2_1:DocumentSectionCode&gt;07B&lt;/_2_1:DocumentSectionCode&gt;
&lt;/_2_1:Pointer&gt;
&lt;_2_1:Pointer&gt;
    &lt;_2_1:SequenceNumeric&gt;2&lt;/_2_1:SequenceNumeric&gt;
    &lt;_2_1:DocumentSectionCode&gt;06A&lt;/_2_1:DocumentSectionCode&gt;
&lt;/_2_1:Pointer&gt;
The following is instead generated:
&lt;_2_1:Pointer&gt;
    &lt;_2_1:SequenceNumeric&gt;2&lt;/_2_1:SequenceNumeric&gt;
    &lt;_2_1:DocumentSectionCode&gt;07B&lt;/_2_1:DocumentSectionCode&gt;
    &lt;_2_1:TagID&gt;06A&lt;/_2_1:TagID&gt;
&lt;/_2_1:Pointer&gt;
A temporary workaround would be to treat the SequenceNumeric received in the first Pointer as the sequence number of the Amendment object in the DMSRES notification.</t>
  </si>
  <si>
    <t>261</t>
  </si>
  <si>
    <t>During a submission peak, some declarations may fail to be accepted and generate an error response to the submitter. These declarations would need to be resubmitted</t>
  </si>
  <si>
    <t>Resolved on 01/10/2020</t>
  </si>
  <si>
    <t>262</t>
  </si>
  <si>
    <t>When completing an H1, H3, H4, H5 or I1 declaration with additional declaration type code A, B, D or E, then a method of payment code must be completed in DE 4/8. If a deferment method of payment is not declared then a cash MOP must be provided. A MOP code is required even if there is no revenue to pay. If there is no revenue to pay then no money will be debited from the account.</t>
  </si>
  <si>
    <t>263</t>
  </si>
  <si>
    <t>Indirect Exports - If the goods items packets quantity does not match with header level overall quantity in the declaration submission, this does not trigger a validation error in CDS but does cause a validation error in ECN+. We will provide further advice on how to complete DE 6/10 and 6/18 to avoid this problem</t>
  </si>
  <si>
    <t>265</t>
  </si>
  <si>
    <t xml:space="preserve">Customs debt is not calculated for US origin goods subject to retaliatory duty. DMSACC and DMSCLE are received, but not DMSTAX. </t>
  </si>
  <si>
    <t>267</t>
  </si>
  <si>
    <t>When using DIS API with DUCR as the search parameter, there may be multiple matching declarations with that DCR reference. The ICS is returned correctly for the initial frontier declaration (i.e. Z DCR) but not for any subsequent supplementary declarations (Y DCR). For these, the ICS does not progress beyond accepted".   This does not affect searches on MRN or UCR</t>
  </si>
  <si>
    <t>268</t>
  </si>
  <si>
    <t xml:space="preserve">This iteration of Query API should return all the ROE values set out in the Service Design (table at 4.2). However it only returns ROE codes 1,2,3 and H (and will return ROE 5 when available). Route 0 (Risking not yet performed) and 6 (No control required)
are not returned; instead the ROE is blank (as for a rejected declaration). </t>
  </si>
  <si>
    <t>269</t>
  </si>
  <si>
    <t>Exports ICS code is incorrect in DIS - There is a DMS defect which means state changes after (and including) topic type 21 (exit results) are not passed successfully to DIS. This prevents DIS from showing any state changes after 21. This could affect a majority of export declarations, however, the business impact should be limited as the goods have already been cleared and departed by this time</t>
  </si>
  <si>
    <t>270</t>
  </si>
  <si>
    <t>The current implementation allows any DIS request which has come through a CSP to have the permissions of the CSP party i.e. for imports, all declarations which were submitted through that CSP can be returned, and for exports a DIS request through a CSP can return any exports declaration. DIS does not check the submitter (originator) of the request, therefore, this request could be triggered by either the CSP themselves, or it could have originated from the trader. CSP-linked Traders/agents could therefore view the declarations of other traders/agents if they know the declaration identifiers (e.g. MRN). This will be addressed before any live use of the service</t>
  </si>
  <si>
    <t>271</t>
  </si>
  <si>
    <t>DIS Acceptance Date. An Acceptance Date (derived from received date) is now populated in the query response for Frontier declarations, and not only for Supplementary Declaration (where acceptance date is declared). However Acceptance date is also being incorrectly populated for pre-lodged frontier declarations, i.e. pre-lodged declaration are treated as if accepted</t>
  </si>
  <si>
    <t xml:space="preserve">Resolved on 24/06/2020 </t>
  </si>
  <si>
    <t>272</t>
  </si>
  <si>
    <t>Declarations with OGD Licences. It is not evident in Trade Test, but we advise that in Production it will always be necessary to include a 3-digit DUCR part number (for Imports and Exports) on licence declarations.  The declarations will be accepted without the DUCR Part, but the OGDs may subsequently reject the licence allocation, causing inconvenience to the trader</t>
  </si>
  <si>
    <t>273</t>
  </si>
  <si>
    <t>When entering a total package quantity with over 7 characters in DE 6/18 Total Package Quantity, the business rule is only returning an error code rather than a full pointer with the field that is causing the issue</t>
  </si>
  <si>
    <t>274</t>
  </si>
  <si>
    <t>ILE query : Consolidation (Mucr) is shown as having Permission to Progress ( SOE ‘3’) once at least one of the child Ducrs has achieved SOE value ‘3’.’ Mucr should achieve SOE ‘3’ (P2P status) only when all the Child Ducrs achieve SOE ‘3’.   This only affects the ILE query, it is correct on the EMR</t>
  </si>
  <si>
    <t>275</t>
  </si>
  <si>
    <t>Declarations which claim Quantity Based Licensed Quotas with Security Deposit will get stuck at Accepted state</t>
  </si>
  <si>
    <t>276</t>
  </si>
  <si>
    <t xml:space="preserve">DUCRs for declaration Types B C E and F cannot be queried through the ILE query service. As a workaround these declarations can be queried through DMS or through the Declaration Information Service API </t>
  </si>
  <si>
    <t>278</t>
  </si>
  <si>
    <t>Presently, only Pre-lodged Exports Frontier declarations (Types D,E and F) may reuse the same DUCR reference when rejected on arrival. Currently, other Arrived Exports declaration types will require a new DUCR reference to be submitted.</t>
  </si>
  <si>
    <t>Resolved on 22/07/2021</t>
  </si>
  <si>
    <t xml:space="preserve">We recognise the impact this has on supply chains in a number of export scenarios - registered consignees, Ro-Ro and declarations rejected at arrival. A Change Request has been approved and is a priority for delivery in early 2021. </t>
  </si>
  <si>
    <t>279</t>
  </si>
  <si>
    <t xml:space="preserve">
If an electronic licence is declared on a Type J or K EIDR declaration without a commodity code, licence usage would not be decremented and no response would be received. Please include a Commodity Code on the declaration. </t>
  </si>
  <si>
    <t>280</t>
  </si>
  <si>
    <t xml:space="preserve">Any attempt to invalidate an export declaration after it has been accepted will fail to release licence usage from that declaration. This has now been fixed for imports but not yet for Exports. </t>
  </si>
  <si>
    <t>281</t>
  </si>
  <si>
    <t xml:space="preserve">If during dual running CHIEF rejects an Exports inventory linking request from CDS (e.g. EAL) the CDS Exports UI will display the CHIEF validation error (e.g. E518 - Shed Operator does not exist) and not the equivalent CDS Error code. 
Dual running has not started yet so impact will be low whilst Error responses are aligned </t>
  </si>
  <si>
    <t>Closed - Not a Defect - 30/03/2022</t>
  </si>
  <si>
    <t>This KEL was closed due to investigation confirming it is working to the design and the behaviour is as expected during the dual running period: the error will be displayed as per the error message sent from CHIEF in the UI.</t>
  </si>
  <si>
    <t>282</t>
  </si>
  <si>
    <t xml:space="preserve">ILE declaration query responses are not returning a date in the message header. 
The same defect applies to ILE responses to consolidations and movements. The date is not being passed to Digital from MDG. </t>
  </si>
  <si>
    <t>283</t>
  </si>
  <si>
    <t xml:space="preserve">Where Badge is being used to submit authorisation information, CSPs should avoid use of special characters (specifically "\") within the Badge-ID when testing. (This would not occur with the live CSP badge formats in current use). </t>
  </si>
  <si>
    <t>284</t>
  </si>
  <si>
    <t>The path parameters (search criteria) in the API must be a URL encoded string and may not contain certain non-standard characters. "/" is one such character; used in a UCR search. In order to call the API successfully, it will be necessary to convert (URL encode) the string in the search parameter before calling the DIS API. Common utilities exist to do this. "/" becomes "%2F" after URL encoding. For example DS/1234-423567 becomes DS%2f1234-423567. This does not affect the returned results, where these business values are inside the message payload. The API documentation has been updated to make this clearer</t>
  </si>
  <si>
    <t>See advice in "CDS Declaration Information Service Design" section 2.1 - Search Parameters".</t>
  </si>
  <si>
    <t>285</t>
  </si>
  <si>
    <t xml:space="preserve">When selecting the option to create an EAD, the Declaration Acceptance Date &amp; Time field is not populated on the EAD. Until we can fix this, the status is shown on the front of the EAD along with the generation date i.e. at Pre- Lodgement or at a later time. The acceptance date details can therefore be inferred. </t>
  </si>
  <si>
    <t>287</t>
  </si>
  <si>
    <t xml:space="preserve">During dual running, an EAL arrival of a MUCR is creating two EMR responses, one from CHIEF and one from CDS, instead of one consolidated response. This is a regressive defect (was working in February). Two EMRs are produced even when CHIEF responded with an error to the movement request. </t>
  </si>
  <si>
    <t>Closed - Not a Defect - 15/10/2020</t>
  </si>
  <si>
    <t>KEL closed on 15/10 and moved to CR worksheet. Please track through CR064</t>
  </si>
  <si>
    <t>288</t>
  </si>
  <si>
    <t xml:space="preserve">Submitting an amendment during the dwell time window may result in the trader only receiving a DMSTAX notification, instead of a DMSTAX, DMSRES and a DMSCLE. </t>
  </si>
  <si>
    <t>290</t>
  </si>
  <si>
    <t>ILE query service fails to return a result if the queried declaration is missing Goods Item Net Mass.
The workaround for this would be to ensure that the Goods Net Mass field on the declaration, under Commodity, is always completed.</t>
  </si>
  <si>
    <t>291</t>
  </si>
  <si>
    <t>CDS is rejecting Document Category Code (Y) Document Type Code (902) with ‘Data Error: Data Element contains invalid value’ , although Y902 is in the CDS code lists and is required by the Tariff,
This is one of a list of licence waiver document codes (it waives the need for a licence where exported goods may contain Ozone depleting substances), which now applies to exports as well as imports. We will update CDS to recognise use of these codes on an export declaration. In the meantime, it will be necessary to declare the applicable licence document code.</t>
  </si>
  <si>
    <t>Resolved on 27/11/2021</t>
  </si>
  <si>
    <t>292</t>
  </si>
  <si>
    <t>Non-GB AEO authorisations should not be declared against C501 - C503, as we are currently unable to validate this information and the declaration would be rejected. EU AEO authorisations can be declared as Y023 documents (please provide the issuing country's certificate or the authorisation number if there is no certificate issued)</t>
  </si>
  <si>
    <t xml:space="preserve">Resolved on 20/07/2020 </t>
  </si>
  <si>
    <t>294</t>
  </si>
  <si>
    <t>When submitting a quota declaration without including the quota order ID, the declaration is correctly rejected and a DMSREJ trader notification is sent. In the DMSREJ the error description correctly reads "Missing quota number", however, the pointer corresponds to the incorrect tagID. Impact is lack of clarity and a user receiving this notification may be confused as to where to input the missing element / which of the two mentioned elements is the cause of the DMSREJ (either the correct one mentioned in the text or the incorrect one pointed to in the pointer).</t>
  </si>
  <si>
    <t>295</t>
  </si>
  <si>
    <t>When traders provide an incorrect or disallowed value in D.E. 5/15 Country of Origin code e.g. 'AA', they will get a rejection message which will return a pointer showing "501" as "Typecode" instead of "063" as "CountryCode", which is the correct error pointer for this rejection. They would not be able to identify which of the elements provided are incorrect or not allowed based on the error message and pointers, thereby increasing the difficulty of amending and resubmitting the declaration.</t>
  </si>
  <si>
    <t>296</t>
  </si>
  <si>
    <t>There is a rule in place to check the validity of every 7-digit procedure combination that is entered onto a goods item (combination of Additional Procedure code (D.E. 1/11), Requested Procedure code (D.E. 1/10) and Previous Procedure code). If multiple Additional Procedure codes are declared, the rule will separately concatenate each code with the declared Requested and Previous Procedure codes, and perform a look up in our reference data to confirm the final 7-digit combination is indeed valid. If any of the AP combinations is invalid, the error pointers are currently unable to identify the offending element and the trader is unable to determine which value is incorrect.</t>
  </si>
  <si>
    <t>297</t>
  </si>
  <si>
    <t>An error stating that the total package quantity is in an incorrect format is returned when submitting an additional message for Exports. The additional message is being incorrectly rejected as it is not concerned with total package quantity.</t>
  </si>
  <si>
    <t>298</t>
  </si>
  <si>
    <t xml:space="preserve">
If a guarantee or deferment account fails user (EORI) validation, and no document code has been declared in DE 2/3, then the declaration will be incorrectly held in a Received state, as opposed to being Rejected as expected. Workaround - declaring either a document code in DE 2/3 or an EORI which has the correct authorisations will generate the expected DMSREJ (now only one aspect is in error, not two). The trader would first need to send in an invalidation request (cancellation) for the original declaration MRN. As the original declaration has not yet been legally accepted he will receive a DMSREJ (not a DMSINV) for the original declaration, and can then submit a new corrected declaration to replace it.</t>
  </si>
  <si>
    <t>299</t>
  </si>
  <si>
    <t xml:space="preserve">CDS now accepts a supplementary declaration (type Y or Z) without a MOP or DAN code when there’s no revenue to pay. CDS will default to cash payment if there is actually was revenue to pay. This effectively blocks clearance until the trader takes action. The expected action in live would be to cancel the supplementary declaration and resubmit with Deferment payment details added. 
However in Trade Test the immediate payment emulator only supports the frontier declaration types A, B, D, E, J &amp; K ; so in this scenario a test supplementary declaration (type Y or Z) would get stuck after the generation of the DMSTAX and you would not receive a DMSCLE message". </t>
  </si>
  <si>
    <t xml:space="preserve"> A decision was made not to enhance the process to add this functionality to the service.</t>
  </si>
  <si>
    <t>300</t>
  </si>
  <si>
    <t xml:space="preserve">For a subset of error codes related to electronic licensing, an Error/Description will be populated alongside the usual Error/ValidationCode in the DMSREJ Trader Notification. 
*Error Code* *Error Description* 
CDS70711 Licence Error: Electronic licence does not exist 
CDS70719 Licence Error: Electronic licence quoted although Document Status Code indicated paper licence 
CDS70724 Licence Error: Licence is not valid 
CDS70791 Licence Error: Licence line number does not exist on the licence 
CDS71216 Licence Error: Licence status must be "Open", "Pending Exhausted", or "Pending Surrendered" </t>
  </si>
  <si>
    <t>Resolved on 28/04/2021</t>
  </si>
  <si>
    <t>301</t>
  </si>
  <si>
    <t>If an invalid Document ID is declared for document type C505 (Deferment Authorisation) the declaration will get stuck. If correct details are entered by the trader there is no problem.
Workaround: contact HMRC to resolve the stuck declaration or submit new declaration.</t>
  </si>
  <si>
    <t>Resolved on 14/08/2020</t>
  </si>
  <si>
    <t>302</t>
  </si>
  <si>
    <t>Trader notifications for re-arrivals (i.e. DMSCLE, DMSRCV, DMSCTL, DMSDOC and DMSREJ) may not be returned to the trader. Unaffected are trader notifications prior to re-arrivals and CSP notifications (e.g. EMR, ERS). Where applicable, a trader will be able to query the status of their declarations using the ILE Query Service.</t>
  </si>
  <si>
    <t>Resolved on 24/03/2021</t>
  </si>
  <si>
    <t>303</t>
  </si>
  <si>
    <t>DIS query is only returning HTTP error codes and messages, and is not returning the associated Application Errors described in the DIS service design document. For example DIS is only returning HTTP code 404 - Not found, when it should also return (nested within the error message) an application error code e.g. "CDS60001" and error message "Declaration not found". This means the trader does not know the cause of the error (the declaration really doesn’t exist, or is too old, or whether the token used is not authorised?) or the corrective action to take (e.g. whether to retry with a different token or not)</t>
  </si>
  <si>
    <t>Resolved on 20/10/2020</t>
  </si>
  <si>
    <t>304</t>
  </si>
  <si>
    <t>Indirect Exports : a declaration without containerised indicator populated was accepted by CDS, but rejected by ECS : IE917 error received from ECS.
Containerised indicator must be set to 0 if there are no containers in the payload (as was the case), otherwise containerised indicator must =1. It must not be left blank</t>
  </si>
  <si>
    <t>306</t>
  </si>
  <si>
    <t>This will only impact export declarations. At the point of departing a declaration and all subsequent state changes, the DIS database will no longer be updated, this would therefore be out of date should a trader chose to query DIS. As this update happens close to the end of the declaration processing life-cycle, it is unlikely the trade would miss any key declaration processing updates.</t>
  </si>
  <si>
    <t>307</t>
  </si>
  <si>
    <t>When a trader includes an exit date at header level in an invalidation message (to cancel their declaration), they will be sent a DMSREJ in response with only the error code DMS10002 (Obligation Error: Data Element is not allowed). No pointer to Exit Date is included.</t>
  </si>
  <si>
    <t>Resolved on 18/02/2021</t>
  </si>
  <si>
    <t>308</t>
  </si>
  <si>
    <t>CDS will incorrectly reject the declaration when a container ID is entered in DE 7/10 at Header level and a Seal entered in DE 7/18 in a separate TransportEquipment object.</t>
  </si>
  <si>
    <t>309</t>
  </si>
  <si>
    <t>When a quota ID is updated or removed via an amendment, the call out to advise the Quota Management System about the change is not being made. This occurs when the quota ID is within its own duty tax fee tag or if amending all elements of the duty tax fee. (This defect is not apparent in Trade Test, but would affect live quota declarations).
Workaround : If the quota ID is present with other elements of duty tax fee and the amendment is made just for the quota ID there is no issue.</t>
  </si>
  <si>
    <t>310</t>
  </si>
  <si>
    <t xml:space="preserve">
When a declaration is rejected on goods arrival or when submitting a goods presentation notice outside of the accepted 30-day window, the standard trader notification is sent to the submitter / CSP and they would be aware of the declaration rejection. However the message generated internally (Topic type 11) is schema invalid. The invalid topic type 11 message is also generated when the 30-day timer runs out and HMRC invalidates the unarrived declaration. This has several external impacts. 
1. CDS sends a DMS rejection notification message which includes the expected error code CDS12046, but also includes further spurious error codes CDS12015 and CDS12031. [Issue 1]. (Just the correct error code CDS12046 is received if the 30 day timer runs out). 
2. DMS fails to trigger the inventory status update message to the CSP to notify that the declaration has been invalidated by Customs. As a result, the declaration linked to the UCN (MCR) in the inventory system would be incorrectly left in the 'declaration risked' (14) stage, ad infinitum [Issue 2] 
3. DMS fails to update DIS, so when the invalidated declaration is queried it shows SOE ‘14’ – declaration risked, whereas it should be SOE 4 [Issue 3]. </t>
  </si>
  <si>
    <t>312</t>
  </si>
  <si>
    <t>The error description accompanying certain licence errors, will incorrectly suggest that there is an "Authorisation error". This is cosmetic and there is no functional impact.</t>
  </si>
  <si>
    <t>313</t>
  </si>
  <si>
    <t>For Trade Test &amp; TDR, the licence status for each licence will not be reset to "Open" at the scheduled time. As a result, any Exhausted/Surrendered licences will not be usable regardless of available quantity.
Where the status of a licence is Exhausted/Surrendered, please contact the External Test Team who can reset the licence status.</t>
  </si>
  <si>
    <t>Resolved on 18/09/2020</t>
  </si>
  <si>
    <t>314</t>
  </si>
  <si>
    <t>315</t>
  </si>
  <si>
    <t xml:space="preserve">Due to a schema issue declarations submitted with Communication ID data element DE 3/31 are not being ingested and validated. The declaration is not processed and the trader receives no notifications (stuck declaration). 
Contrary to previous advice, there is no workaround. </t>
  </si>
  <si>
    <t>317</t>
  </si>
  <si>
    <t xml:space="preserve">
When multiple consolidation (EAC) requests are submitted into CDS within a short period of time this may cause some of the transactions to not be executed successfully. 
Workaround:The consolidator should allow ample time (e.g. 5+ secs) between the submission of consolidation requests. </t>
  </si>
  <si>
    <t>318</t>
  </si>
  <si>
    <t xml:space="preserve">On an Indirect Exports declaration, the Paper Tariff mandates that when "there are a number of items on a declaration but there is only one country of ultimate destination, this must be declared at header level only. No reference to the destination country should be made at item level. 
Therefore, if used, this data item has to be filled in at GOODS ITEM level only if there is more than one value. If there is one 
value, it has to be filled in at HEADER level. 
If the same country of destination (e.g. "US") has been specified across the goods items, although CDS accepts it, the ECS (ECN+) validation sees that as erroneous repetition as it expects "US" to be specified once at header level only. And no response is sent from CDS. If the declarant follows the paper tariff, this issue will not occur. Nevertheless, we will look at a validation rule to catch this. </t>
  </si>
  <si>
    <t>This KEL was closed due to investigation confirming this is expected system behaviour: As per the Tariff Volume 3 - Where a single country of origin applies to all goods items, this must be entered at header level. Failure to follow this guidance can lead to a "no notifications" scenario in ECS. The CDS Declaration Submission Service Design has been updated in Section 4.3.3.1.1 to reflect this.</t>
  </si>
  <si>
    <t>319</t>
  </si>
  <si>
    <t>After a declaration clears (e.g. when running TT_IM01c), we expect that a declaration status query to DIS will return an updated ICS of 22. However there is a potential lag of up to 30 minutes before DIS is updated, so sometimes the DIS query may still return ICS 20. This delay occurs if DIS receives updates from DMS out of sequence : DIS waits to retry the update for up to 30 minutes. This is not a defect, as DIS is behaving as designed.</t>
  </si>
  <si>
    <t>320</t>
  </si>
  <si>
    <t xml:space="preserve">
Duty calculation of SIV is incorrect when procedure code E02 is declared. If a commodity (e.g. Commodity Code - 0805102290) has both SIV and SPV measures, declaring APC E02 should result in an SIV calculation. Instead CDS returns an SPV calculation (same as for APC E01). </t>
  </si>
  <si>
    <t>Resolved on 07/10/2021</t>
  </si>
  <si>
    <t>321</t>
  </si>
  <si>
    <t>On the GB-NI journey, VAT is not charged and so there is no implication to what the trader is charged, only the information returned to the trader. On the RoW-NI journey, the trader will be overcharged VAT.</t>
  </si>
  <si>
    <t>322</t>
  </si>
  <si>
    <t>When using AI code RCONR, the declaration is incorrectly rejected if the required EORI number is provided. This also affects certain other AI codes. 
Workaround: For testing purposes, please use AI code RCONR without completing the AI text segment.</t>
  </si>
  <si>
    <t>323</t>
  </si>
  <si>
    <t>If an Immediate Guarantee is declared in Trade Test, where the payments emulator is running, CDS incorrectly sends two DMSTAX notifications. In response to the first DMSTAX, the test emulator sends a payment notification to CDS, but CDS then sends a DMSTAX again</t>
  </si>
  <si>
    <t>Resolved on 03/06/2021</t>
  </si>
  <si>
    <t>324</t>
  </si>
  <si>
    <t>CDS should only allow NIREM (de-risking AI statement) to be declared on goods items that have duty calculations and also include either NIDOM or NIIMP in DE 2/2. When this is not the case, NIREM on declaration types A,B,D,E,Y&amp;Z declaration types is being correctly rejected, but NIREM is being incorrectly accepted on declaration types C, F, J and K (where there is no duty calculation).</t>
  </si>
  <si>
    <t>325</t>
  </si>
  <si>
    <t>GB-NI movements where goods are deemed at RISK both HMRC and Traders, whilst paying the correct VAT amount, are not be able to distinguish which part of their VAT liability was caused by NIP/EU customs duties or UK Customs value and excise. The split of VAT is not displayed on the DMSUI or Trader Notification.</t>
  </si>
  <si>
    <t>326</t>
  </si>
  <si>
    <t>If a trader submits commodity codes that attract securities on taxes (VAT or Excise) due to provisional anti-dumping or countervailing duty, it may cause an error where the declaration will not be processed</t>
  </si>
  <si>
    <t>327</t>
  </si>
  <si>
    <t xml:space="preserve">EU VAT (tax type B05) calculations on 'at risk' goods (GB-NI or ROW-NI) have incorrect tax base. Value for Customs is being included in the tax base instead of just the EU Customs charges. This leads to a higher VAT calculation than should be returned. </t>
  </si>
  <si>
    <t>328</t>
  </si>
  <si>
    <t xml:space="preserve">
When submitting an arrival notification which includes an amendment of the goods location name (42A/67A/28A/64A tagID L016), the DSMRES references this pointer in the Amendment-section, but in the Declaration-section it returns the location type code (e.g. "U") instead of the new location name 
&lt;_2_3:GoodsLocation&gt; 
&lt;_2_3:Address&gt; 
&lt;_2_3:TypeCode&gt;U&lt;/_2_3:TypeCode&gt; 
&lt;/_2_3:Address&gt; 
&lt;/_2_3:GoodsLocation&gt; 
instead of mentioning the new name (&lt;_2_3:Name&gt;NNNNNNNNNNN&lt;/_2_3:Name&gt;)</t>
  </si>
  <si>
    <t>329</t>
  </si>
  <si>
    <t xml:space="preserve">
On an import or export declaration, when a trader inputs invalid electronic license details (licence does not exist in CDS), the declaration will be rejected. The trader will receive a rejection notification (DMSREJ) with the expected error code and pointer to the ID code in DE 2/3 (D005), but with an empty 'description' and 'StatementDescription' tag</t>
  </si>
  <si>
    <t>331</t>
  </si>
  <si>
    <t>CDS does not receive the allocated quantity information for the specific quota, thus causing an error, which in turn blocks any further quota related amendments, such as updating or removing a quota for a declaration. In this case, the declarant submits an amendment asking to remove the quota from the declaration, which gets acknowledged and marked as completed successfully, yet nothing changes in terms of the declaration. The workaround in this scenario would be to submit a new non-quota declaration, rather than submit an amendment asking to remove the quota number on the initial.</t>
  </si>
  <si>
    <t>332</t>
  </si>
  <si>
    <t xml:space="preserve">When traders only declare a previousDocument at item level, they will retrieve a NOT FOUND error from DIS as DMS will not have sent DIS any notification about the declaration. DMS is only sending declarations to DIS when the previous document is at Header level. </t>
  </si>
  <si>
    <t>The fix for this issue was deployed in Trade Test and Production in April 2021.</t>
  </si>
  <si>
    <t>333</t>
  </si>
  <si>
    <t xml:space="preserve"> If amending a declaration to change DE 7/2 container code (from goods not in containers to having containers), no DMSRES notification is received. The declaration is completed correctly (DE 7/2 changed from "0" to "1") but an incorrect internal mapping translates this to "TRUE". Other kinds of amendments to container information are processed correctly. There is no workaround.</t>
  </si>
  <si>
    <t>335</t>
  </si>
  <si>
    <t xml:space="preserve">Currently Declarations that have a rejected correction amendment request are being moving to cleared with the trader receiving a DMSCLE notification which is not in line with expected CDS behaviour. If a Correction Amendment request is rejected the declaration should not clear but await a valid correction. The impact is that Traders will be wrongfully notified of a cleared declaration. 
Workaround:User/Trader submits a valid amendment once they are notified of rejection and before the declaration moves to cleared thus avoiding the bug entirely until it is fixed. </t>
  </si>
  <si>
    <t>336</t>
  </si>
  <si>
    <t>When a valid pre-lodged declaration for exports is rejected on arrival (a reprocessing error, where the EAL/arrival notice is rejected by DMS) - a re-processing error) the declaration type still updates to "arrived". If the declaration is then re-submitted with the same DUCR reference (though it will have a new MRN), the new declaration will be rejected based on DUCR uniqueness checks on arrived declarations.
Workaround: A new DUCR must be used on the newly submitted declaration.</t>
  </si>
  <si>
    <t>337</t>
  </si>
  <si>
    <t>There are a number of Data Elements which can either be supplied at Header level or Item level, not both. One example is Container ID (DE 7/10, another is VAT Registration Number (DE 3/40). Taking the Container ID example, if a trader was to enter transport equipment at header level and also entered twice at item level, then two CDS12071 errors are generated, but both point to the same sequence numeric (1). This could result in a correction being made to only one of the transport equipment elements (rather than both) that have been incorrectly declared at goods item level</t>
  </si>
  <si>
    <t>338</t>
  </si>
  <si>
    <t xml:space="preserve">When a trader submits a declaration amendment request for the TSP and TRC codes, only the TSP code amendment is visible in the trader notification, despite both amendments being processed by CDS. </t>
  </si>
  <si>
    <t>339</t>
  </si>
  <si>
    <t>When submitting an export declaration declaration with a correction additional message, with the amendment object child elements missing, this request is not being rejected and amendment is going to a received state. However, submitting a correction without the amendment object in the additional message should be rejected as this is ‎mandatory and DMSREJ should be sent to the trader. DMSREJ is not being sent to the trader and the additional message is wrongly going to a received state so traders are not aware their additional message is incorrect and what the reason is.</t>
  </si>
  <si>
    <t>340</t>
  </si>
  <si>
    <t xml:space="preserve">VAT suspension and postponed VAT (PVA) are not being applied to NI VAT (tax type B05), though it is correctly applied against UK VAT (tax type B00). 
This is due to tax type B05 being missing from the list of VAT tax types used by CDS processing. 
The VAT suspension example occurs when the NI AI code 'NIIMP' is declared alongside additional procedure code A04 (on a 51 series procedure code), the VAT due on EU Liabilities (B05) is not suspended. 
The trader will be overcharged. Post Clearance repayment of overcharged VAT can be claimed if live RoW to NI declarations are made after 1st January. There is no workround for Trade Test </t>
  </si>
  <si>
    <t>341</t>
  </si>
  <si>
    <t xml:space="preserve">Digital authentication is preventing developers from using the authorised loader roles documented in the Test Data Library to submit export movement requests in their end to end testing. We had previously advised this capability is available in Test to self-serve. Until this is resolved, SWH's will need to request a CSP to submit their movement messages, which we recognise introduces delays and requires co-ordination between SWH and CSP - ie all tests with EAL, EDL, EAA, EAC &amp; CST transactions. </t>
  </si>
  <si>
    <t>342</t>
  </si>
  <si>
    <t>When the trader sends an export or import declaration with a correction additional message with AdditionalMessage.ConsignmentShipment.exitDate included the additional message is rejected and a DMSREJ is sent to the trader. However, only the error code is sent to the trader and the pointer is not sent to the trader in the DMSREJ notification so the trader does not know what element caused the rejection and what element to amend.</t>
  </si>
  <si>
    <t>348</t>
  </si>
  <si>
    <t>When the NI AI code NIIMP and APC '2MO' are both declared, the VAT (Tax Type B00) will incorrectly be relieved and returned as a security amount. The trader will be undercharged in this scenario.</t>
  </si>
  <si>
    <t>349</t>
  </si>
  <si>
    <t xml:space="preserve">Indicative tax calculations should now be returned "pre-dwell time" for frontier declaration types, including Simplified Frontier Declarations, as documented in End to End sequence diagrams section 2.2.9. Even though tax calculation is not possible on a SFD, so the DMSTAX just provides confirmation that no revenue is due. CDS is currently not returning any DMSTAX notifications on types C or F, not even the single pre-clearance DMSTAX seen previously. </t>
  </si>
  <si>
    <t>350</t>
  </si>
  <si>
    <t xml:space="preserve">When a trader submits an amendment to a declaration without a reason text, the pointer returned should display the element that is incorrect. However, at the moment the trader won’t be able to see where the error is as the pointer is returned as an error code ('DMS10001') instead. </t>
  </si>
  <si>
    <t>351</t>
  </si>
  <si>
    <t xml:space="preserve">Declarations will not get cleared for Zero allocated quota scenarios and will stay in Release of Goods Status. This issue occurs only for zero allocation and not for other scenarios. There is no workaround for this issue. </t>
  </si>
  <si>
    <t>Closed - Not a Defect - 13/04/2022</t>
  </si>
  <si>
    <t>352</t>
  </si>
  <si>
    <t xml:space="preserve">Where the code AR or AS is declared at header level on the declaration to indicate that airfreight charges apply, along with an APC that relieves customs duty. The base measure used for the VAT calculation incorrectly exclude the air freight charges that apply. The trader will be undercharged in this scenario. 
Workaround: The missing VAT could be reclaimed via the underpayments process </t>
  </si>
  <si>
    <t>353</t>
  </si>
  <si>
    <t xml:space="preserve">A split consignment allows the same inventory record to have more than one import declaration made against it. The Inventory Consignment Reference (previous Document MCR) includes 8 spaces then a suffix to denote the split. CDS is unable to process the spaces correctly or to pass back a response containing spaces. A sync ack is returned but no further notifications are received. 
There is no workround where consignments that have been split across multiple flights at origin use the same inventory record and air waybill reference, and no workround to compensate for the restriction on combining dissimilar customs procedures on one CDS declaration. There is a potential workround where the split is due to HMRC seizure of goods (creation of dummy HAWBs). </t>
  </si>
  <si>
    <t>Resolved on 20/01/2022</t>
  </si>
  <si>
    <t>354</t>
  </si>
  <si>
    <t xml:space="preserve">When the submission date on a supplementary declaration is 1st January 2021 or later (ie post-EU Exit) but the acceptance date is 31 December 2020 (ie pre-EU Exit), CDS applies 2020 validation rules but 2021 processing rules. We have found an example where air transport cost apportionment rules have changed post EU exit, leading to a lower customs value calculation. This lower customs value is applied to the supplementary declaration and so customs duty would be under-charged </t>
  </si>
  <si>
    <t>Resolved on 30/03/2022</t>
  </si>
  <si>
    <t>355</t>
  </si>
  <si>
    <t>As a software supplier if you include a MCR (inventory reference) in a test import declaration submission, CDS will think you are a CSP and will try to exchange CSP inventory linking messages with you. This would lead to a "no notifications" scenario. eg CDS sends a validateMovementRequest to the submitter of the declaration containing the MCR, but as the recipient software supplier is not a CSP it cannot process the request or send back a validateMovementResponse. CDS needs that IL response before it will send the trader notification e.g. the DMSRCV, so no notification is received. To avoid this happening, do not include a MCR on test declarations. We will add a note to the Imports IL service design document to make it clear that this is expected system behaviour in this scenario</t>
  </si>
  <si>
    <t>356</t>
  </si>
  <si>
    <t>The declaration FunctionalReferenceID is not populated on the DMSALV Trader Notification in the trade test environment. This does not affect the function of the DMSALV trader notification in the Live environment as this issue is solely related to the TT/TDR Case Emulator.
Workaround: Trader can use the MRN to map the DMSALV trader notification to the relevant declaration.</t>
  </si>
  <si>
    <t>357</t>
  </si>
  <si>
    <t>Refunded amount of security deposit following a partial quota allocation result is incorrect. CDS should be cancelling out the security taken, and charging the trader the out-of-quota duty rate on the percentage of the goods not receiving allocation. Impact - CDS is not fully cancelling out the original security amount, so trader would be charged too much duty.</t>
  </si>
  <si>
    <t>358</t>
  </si>
  <si>
    <t xml:space="preserve">If more than one control is raised by a Government body through ALVS (eg HMI within Defra), or the same control is triggered before and after goods arrival, the Route of Entry code in the CSP status notification incorrectly suggests that more than one government department has raised a control. ie CDS returns ‘0X’ instead of “H0”. 
The Route returned by DIS is correct. Workaround: traders/CSPs should query DIS for a correct picture of the OGD control status. </t>
  </si>
  <si>
    <t>359</t>
  </si>
  <si>
    <t>The ROE provided in DIS may be displayed as the most severe control raised by a re-arrival regardless of whether the corresponding control task is open or closed. The status (SOE) will continue to be updated as expected and can be used to determine clearance/status of the declaration.</t>
  </si>
  <si>
    <t>360</t>
  </si>
  <si>
    <t>The location provided in DIS will always be displayed as the first location provided on the submitted declaration. Any locations provided by re-arrivals will not be displayed. As a workaround, the ILE query service can be used to show all the locations on all EALs submitted.</t>
  </si>
  <si>
    <t>361</t>
  </si>
  <si>
    <t xml:space="preserve">
After a re-arrival has occurred, the declaration has moved to clearance and a departure occurs for the first time there will be no further updates available either through querying DIS/notifications sent from DIS. The latest status of the declaration will be retained at the latest status will be retained before the departure occurs (clearance (3) or release of goods (2&gt;16)). As a workaround the ILE query service can be enacted to query the latest status of the declaration. </t>
  </si>
  <si>
    <t>362</t>
  </si>
  <si>
    <t>“"Catch all" KEL entry to describe paper tariff business rule functionality to be delivered in February scope. Further information can be found in the "ImportTariff" tab on this document”</t>
  </si>
  <si>
    <t>362.1</t>
  </si>
  <si>
    <t>Currently, CDS will incorrectly reject declarations when Previous document type ‘722’ is declared in D.E. 2/1. To avoid declaration rejection, traders should not declare this document type on a declaration.​ Workaround: traders should declare document code 'ZZZ' in D.E. 2/1 (Other)</t>
  </si>
  <si>
    <t>Imports tariff discrepancy</t>
  </si>
  <si>
    <t>362.2</t>
  </si>
  <si>
    <t>The system is currently preventing use of APC ‘C06’ in D.E. 1/11 with EIDR if ‘EIR’ is declared in D.E. 3/39. To avoid incorrect declaration rejection, traders should not declare this procedure code in combination with EIDR.​</t>
  </si>
  <si>
    <t>362.3</t>
  </si>
  <si>
    <t>Currently, the system will incorrectly reject C21i's where D.E. 6/1 and D.E. 6/14 are not declared.​ Workaround: traders should ensure D.E. 6/11 and D.e. 6/14 are declared on C21i declarations</t>
  </si>
  <si>
    <t>362.4</t>
  </si>
  <si>
    <t>Currently, traders may only declare the exemption code ‘CC’ in D.E 2/3 with document code ‘C505’ in D.E 2/1. If status codes ‘XW’ and ‘XB’ are declared, CDS will reject declaration.​ Workaround: to  avoid declarations rejection, traders should declare 'CC' instead of exemption codes 'XW' or 'XB'</t>
  </si>
  <si>
    <t>362.5</t>
  </si>
  <si>
    <t xml:space="preserve">Current system functionality will incorrectly mandate D.E. 4/17 (Preference) where the requested procedure code "44" is declared in D.E. 1/10 (Procedure) on a Type C or F declaration. If D.E. 4/17 is not declared, CDS will incorrectly reject the declaration​. Workaround: traders may declare preference code '100' in D.E. 4/17 as a workaround. This code stands for all cases where no preference is claimed and the normal third country rate is applied </t>
  </si>
  <si>
    <t>364</t>
  </si>
  <si>
    <t>A request to amend the quantity on an export license declaration can be submitted successfully and appears to have been ‘Granted’ by CDS, but the quantity amendment is not applied to the licence usage record in CDS. As a workaround, traders needing to amend an Export license quantity in Production should contact NCH for assistance.</t>
  </si>
  <si>
    <t>365</t>
  </si>
  <si>
    <t xml:space="preserve">When calling the DIS query service a success response may be returned (status code 200) but with no declaration results. This would occur if the DIS component is temporarily unavailable in that CDS environment ('Error connecting to the back end'). In this situation internal messaging is incorrectly returning a success response (code 200) instead of an error response (code 500). </t>
  </si>
  <si>
    <t>Resolved on 01/03/2021</t>
  </si>
  <si>
    <t>366</t>
  </si>
  <si>
    <t xml:space="preserve">When submitting a declaration which includes the Role Code but not the Party ID in DE 3/40 the trader should receive a DMSREJ. However, instead CDS is unable to process the declaration which then gets stuck in received. As a workaround, traders should ensure that both Role Code and the Party ID are submitted. If the Party ID is not known then DE 3/40 cannot be declared on the declaration. </t>
  </si>
  <si>
    <t>367</t>
  </si>
  <si>
    <t xml:space="preserve">When an EAC associate is requested for an UCR into a parent MUCR, the UKCTRL returned for a CHIEF UCR will incorrectly show the parent MUCR. Whereas the UKCTRL returned for an ILE (CDS) UCR correctly shows the child DUCR or MUCR. As a workaround, please continue to use existing mechanism of the correlationID/conversation ID for this request. </t>
  </si>
  <si>
    <t>368</t>
  </si>
  <si>
    <t xml:space="preserve">Trader may receive an extraneous ACK when receiving an EMR from CHIEF. This does not affect any other functionality. CSP should continue to build around the assumption that for EAA and EAL an ACK will not be sent prior to receiving a EMR. In the meantime CSP should ignore these ACKs. </t>
  </si>
  <si>
    <t>377</t>
  </si>
  <si>
    <t>Results are not returned if a search is performed with MRN, MUCR or DUCR for inventory linked declarations submitted which contain a space in any of the MRN, MUCR or DUCR fields. There is no workaround for this error.</t>
  </si>
  <si>
    <t>378</t>
  </si>
  <si>
    <t xml:space="preserve">The DMSCPR trader notification is informing the trader of an incorrect amount remaining to be paid. eg the original DMSTAX notified A70 and A50 charges, but the DMSCPR only notifies the A50 amount rather than the total amount left to be paid. The only workaround available until the fix is deployed would be for the trader to disregard the amount shown in the DMSCPR notification and instead use the correct deficit amount in the DMSTAX notification. </t>
  </si>
  <si>
    <t>379</t>
  </si>
  <si>
    <t>When a Trader submits a movement request (EAA/EAL) for an empty MUCR, CDS sends CRC 101/102. CDS is currently not transforming Goods location or ShedID for 101/102s from CHIEF when they are received. The Trader therefore receives a response with partial goods location. As a workaround, please ignore the partial goods location.</t>
  </si>
  <si>
    <t>380</t>
  </si>
  <si>
    <t>When a re-arrival has occurred at a new location and the declaration is cleared a DMSCLE is sent to the trader as expected. However, when the EDL is submitted after the re-arrival a duplicate superfluous DMSCLE is additionally sent to the trader. As a workaround, the DMSCLE after the EDL should be ignored as a duplicate.</t>
  </si>
  <si>
    <t>381</t>
  </si>
  <si>
    <t>If a trader makes an imports declaration, when the commodity attracts additional duties in the form of retaliatory rates and steel safeguards, if Quota is allocated, then steel safeguards are not charged. CDS should calculate: Additional duties (695) at the specified rate + No additional duties for steel safeguards (696). Issue: During allocation (full requested volumes received) the additional duties for Steel Safeguards (696) is not removed from the duty calculation as expected. There is no workaround for this issue.</t>
  </si>
  <si>
    <t>382</t>
  </si>
  <si>
    <t>When required, if document code C019 or 185C is not completed in DE 2/3 at item level the declaration will enter a received state (get stuck) instead of correctly sending a DMSREJ. This will affect single or multiple item declarations. It will also occur when C019 or 185C and the authorisation ID have both been completed as the first occurrence at item level; but the second occurrence of C019 or 185C is missing the document code. Until fixed there is no workaround and Tariff guidance should be followed to avoid this issue.</t>
  </si>
  <si>
    <t>Resolved on 19/08/2021</t>
  </si>
  <si>
    <t>385</t>
  </si>
  <si>
    <t>If a trader submits an FSD declaration (Type Q) and the Representative Status is set to an invalid value of 1, the Representative EORI and Representative Status code will not be validated by DMS. This will result in the FSD being incorrectly accepted instead of sending a DMSREJ trader notification. There is no workaround until fixed. So in the meantime please refer to Tariff guidance to ensure that a valid Representative Status Code is entered in DE 3/21</t>
  </si>
  <si>
    <t>Closed - Not a Defect - 19/05/2022</t>
  </si>
  <si>
    <t>386</t>
  </si>
  <si>
    <t>When submitting an import declaration with a correction additional message to remove GoodsItemQuantity, this request is not being rejected and amendment is going to a received state. However, submitting a correction to remove GoodsItemQuantity should be rejected as this is a ‎mandatory element and DMSREJ should be sent to the trader. DMSREJ is not being sent to the trader and the additional message is wrongly going to a received state so traders are not aware their additional message is incorrect and what the reason is.
As a workaround, traders should not send an amendment in remove the &lt;goodsitemquantity&gt; element</t>
  </si>
  <si>
    <t>387</t>
  </si>
  <si>
    <t>When a GPN is submitted for a pre lodged declaration, DMS is not updating the reference date/time with the receive date/time of the GPN submission before validation with other components occurs. The impact being that the pre lodged submission date is incorrectly being used in validation requests. This could lead for example to acceptance of an EORI which has since been invalidated. There is currently no workaround available.</t>
  </si>
  <si>
    <t>388</t>
  </si>
  <si>
    <t>If the Declarant ID (DE 3/18) is not provided then the declaration will sit in a received status (technical error) and the trader will not be notified that there is an issue with the declaration submitted. 
There is no workaround to this apart from ensuring that the declarant has been declared</t>
  </si>
  <si>
    <t>390</t>
  </si>
  <si>
    <t xml:space="preserve">When submitting an Exports declaration with 17X in DE 1/11 but no Carrier EORI (DE 3/32) or Carrier Name and Address (DE 3/31) is entered, a DMSREJ notification with error code DMS12090‎ will be sent to the trader. However, no pointer is returned with the error message, so the trader will not know where the issue is. There is currently no workaround available. </t>
  </si>
  <si>
    <t>391</t>
  </si>
  <si>
    <t>When the trader enters 'EXRR' in D.E 3/39 (Holder of the Authorisation Identification Number) to bypass authorisation on a Ro-Ro Export declaration, a valid RoRo and GB GVMS ports Goods Location (prefixed 'GBAU') must also be provided in D.E. 5/23. If an invalid Goods Location code is entered in D.E 5/23, CDS should reject the declaration with error code DMS12056, but this validation against the codelist isn't taking place. Impact - an incorrect declaration would be accepted</t>
  </si>
  <si>
    <t>392</t>
  </si>
  <si>
    <t>When a trader submits an EAL (Export Arrival at Location) and Re-Arrival movement messages, the time stamps of the CSP and Trader notification response messages should align. However, these are not aligned. For example:
EAL Re-Arrival Response Time CSP Notification: 2021-05-13T14:50:00.000Z
EAL Re-Arrival Trader Notification Response Time: 20210513*025106Z
In this example, the CSP notification timestamp shows the correct time.
There is no workaround for this issue.</t>
  </si>
  <si>
    <t>393.1</t>
  </si>
  <si>
    <t>Export Tariff Discrepancy: Currently, Traders using document codes 9005, 9103, C046, L001 and L082 will be prevented from using status code XU.</t>
  </si>
  <si>
    <t>393.2</t>
  </si>
  <si>
    <t>Import Tariff Discrepancy: Traders using document code 9005 will be prevented from using status code XU</t>
  </si>
  <si>
    <t>394</t>
  </si>
  <si>
    <t>A DUCR with an SOE of '4' or '6' must be auto-disassociated, and an EMR for the MUCR and an ERS for the DUCR must be sent to the last EAA/EAL requester. However following a DUCR cancellation, ERS showing details of the cancelled DUCR is not being generated. The impact will that an ERS for a cancelled DUCR will not be sent to the EAA/EAL requester. This defect was introduced in TTM14.2</t>
  </si>
  <si>
    <t>396</t>
  </si>
  <si>
    <t>A Trader using Postponed VAT accounting functionality will not be able to postpone EU VAT (Tax Type B05) on their EU Duties. There is currently no workaround for this issue</t>
  </si>
  <si>
    <t>397</t>
  </si>
  <si>
    <t>When a trader submits a declaration with DE 4/19 (postalCharges) declared, they can currently provide an invalid currency type in the currency sub-field with the declaration being incorrectly accepted. Workaround: Please use a valid currency type in the currency sub-field.</t>
  </si>
  <si>
    <t>399</t>
  </si>
  <si>
    <t>When a declaration containing a MUCR and a DUCR is rejected (SOE=5) or rejected upon arrival (SOE=11), the DUCR remains associated with the MUCR as expected. If the rejected DUCR (from the rejected or rejected upon arrival declaration) is re-used (i.e. a new declaration is presented), without quoting the original MUCR, then the DUCR is nonetheless still associated within the MUCR and is not automatically disassociated.
Workaround: Where a declaration is rejected (SOE=5) or rejected upon arrival (SOE=11) the declarant should consider use of the EAC transaction to manually disassociate the DUCR from the MUCR, prior to presenting the new declaration with the original DUCR.</t>
  </si>
  <si>
    <t>400</t>
  </si>
  <si>
    <t>When testing XML sample TT_IM56a (Imports Declaration into Mainland UK from Guernsey &amp; Jersey) please note that because TT is missing the DIT data for Jersey/Guernsey country codes (JE/GG) a DMSREJ will be returned. The XML sample can be accurately tested when 'JE' and 'GG' codes are released into TT.</t>
  </si>
  <si>
    <t>Resolved on 16/06/2022</t>
  </si>
  <si>
    <t>401</t>
  </si>
  <si>
    <t>DMSQRY trader notification in TT provides the date/time stamp in UTC+1 instead of UTC as expected in alignment with other trader notifications. The functionality in Live will not be affected.
As a workaround, please convert the date/time stamp provided on the DMSQRY trader notification in TT from UTC+1 to UTC.</t>
  </si>
  <si>
    <t>402</t>
  </si>
  <si>
    <t>Where a Declaration contains an EU Member State code in D.E 5/15 (Country of Origin) and a Non-EU Member State code in D.E 5/16 (Country of Preferential Origin), should the country entered in D.E 5/16 attract a different duty calculation to that entered in D.E 5/15, an incorrect duty calculation will be provided back to the Trader. There is currently no workaround for this issue.</t>
  </si>
  <si>
    <t>403</t>
  </si>
  <si>
    <t>When a trader submits an SRDS declaration with a control trigger word in D.E. 6/8 (Goods Description), the subsequent control raised will not be cleared and the declaration will remain in a controlled state indefinitely. Please note this is a Trade Test only KEL.</t>
  </si>
  <si>
    <t>Closed - Not a defect - 07/04/2022</t>
  </si>
  <si>
    <t>Updated guidance is included on slides 96 and 125 of the 'CDS External TT TDR Scope Guidance' Document on the HMRC Developer Hub.</t>
  </si>
  <si>
    <t>404</t>
  </si>
  <si>
    <t>405</t>
  </si>
  <si>
    <t>When the statement type code is ommited from the additional message to cancel the declaration, the error returned points to an incorrect field. This could cause an issue where the trader thinks they have already declared the value but they havent. There is no workaround for this issue.</t>
  </si>
  <si>
    <t>This KEL was closed due to investigation confirming this is expected system behaviour: The WCO xsd mappings under the AdditionalInformation may have a StatementTypeCode and/or a StatementCode. Please refer to Section 6.2 of the CDS Declaration Submission Service Design document for more information.</t>
  </si>
  <si>
    <t>406</t>
  </si>
  <si>
    <t xml:space="preserve">System functionality does not currently permit use of DE 1/11 code C06 with SDP, contrary to the CDS Tariff. Until this is resolved, C06 cannot be used with Additional Declaration Types C, F or Y. There is currently no workaround for this issue. </t>
  </si>
  <si>
    <t>Resolved on 27/04/2022</t>
  </si>
  <si>
    <t>This has been identified as a known difference between the Paper Tariff and CDS. This KEL entry will shortly be removed from the External KEL and we ask that you continue to track this issue as KD43 in the 'Known Differences Between CDS and the UK Trade Tariff - April Edition' document on the HMRC Developer Hub.</t>
  </si>
  <si>
    <t>408</t>
  </si>
  <si>
    <t>Where a RoW-NI declaration is submitted with NIAID, and the customs procedure does not apply duty relief to all A tax types (A50, A70 etc), and the remaining A tax types have been returned by the EU Tariff but not the UK Tariff, TMM does not allow the trader to utilise their Subsidy balance to cover the remaining EU duties at the point of declaration submission
Workaround = None</t>
  </si>
  <si>
    <t>410</t>
  </si>
  <si>
    <t>If a trader submits a pre-lodged Inventory Linked Imports declaration. Upon submission of the GPN, DMS will provide the communication address of the GPN in the Soap Header of the Inventory Linking validateMovement request which will cause the message to fail and the declaration to go into a received state. Processing of the declaration will be stopped at this point.
There is no workaround for this issue.</t>
  </si>
  <si>
    <t>Resolved on 17/10/2021</t>
  </si>
  <si>
    <t>412</t>
  </si>
  <si>
    <t>Where a declaration is submitted with multiple goods items and a specific valid Procedure code, DMS is incorrectly triggering a business rule which rejects the declaration during validation
Workaround = None</t>
  </si>
  <si>
    <t>416</t>
  </si>
  <si>
    <t>When a declaration contains Commodity Code 2203000100 (Beer made from malt in containers holding 10 litres or less in bottles), a non-blocking Front-End Credibility check is incorrectly generated in the DMSACC Trader Notification when the value of D.E 6/1 Net Mass (in KG) &gt; the value of Supplementary Units (in litres). For example: Net Mass = 600 and Supplementary Units = 500. In this instance, the non-blocking Front-End Credibility check can be ignored.
Workaround: None</t>
  </si>
  <si>
    <t>Closed - Not a Defect - 20/01/2022</t>
  </si>
  <si>
    <t>417</t>
  </si>
  <si>
    <t>Where relief and suspensions are both submitted on a declaration, there is an issue where extra suspensions may be provided to subsidise the overall customs duty payable, due to relief and suspensions being incorrectly applied by DMS
Further analysis required to confirm what the correct outcome of this scenario should be. 
No workaround available</t>
  </si>
  <si>
    <t>Closed - Not a Defect - 21/04/2022</t>
  </si>
  <si>
    <t>This issue has been closed as it is determined to not be a defect. A feature has been raised which will close this gap.</t>
  </si>
  <si>
    <t>418</t>
  </si>
  <si>
    <t>Where an error returned has reference to an additional document (DE2/3) within goods item a sequence numeric is returned for goods shipment (67A) but when an error is returned that does not relate to an additional document then there is no sequence numeric returned at goods shipment. There is currently no workaround for this issue.</t>
  </si>
  <si>
    <t>420</t>
  </si>
  <si>
    <t>If there are multiple package counts on a declaration, ILE will currently only return the first package count from each item. Goods can be declared in different package types per item, yet ILE currently only counts the first package count per item adding this to the overall total package count of a declaration. This results in an inconsistency in the EMR/ERS and in the ILE Query Service. Workaround is to submit a singular package count per item in the declaration. This will hopefully ensure the over all total of packages aligns to DIS count.</t>
  </si>
  <si>
    <t>This issue will be resolved as part of a future change request. For further information on the proposed change, please see CR212 in the 'Change Requests' tab.</t>
  </si>
  <si>
    <t>421</t>
  </si>
  <si>
    <t>When a trader submits an import declaration with Commodity Classification Code VATZ and then submits an additional message to add a second goods item, the declaration incorrectly rejects on a duplicate pointer (for VATZ) and sends a DMSREJ notification to the Trader. There is currently no workaround for this issue.</t>
  </si>
  <si>
    <t>422</t>
  </si>
  <si>
    <t>Imports</t>
  </si>
  <si>
    <t>If you usually use valuation method 2, 3, 4, 5 or 6, you will need to complete your declaration differently from usual. This is a temporary measure impacting a limited number of goods and does not indicate a change in policy.
If you are submitting a declaration where the goods have not been sold and you intend to use an SPV or SIV value, you will also need to look up the EU SPV/SIV rates to determine the value which you will then need to manually enter on your import declaration.
The list of commodities and periods of applicability for SPVs can be found in in Annex 23-02 of Commission Implementing Regulation (EU) 2015/2447.
The list of commodities and periods of applicability for SIVs can be found in Annex VII of Commission Delegated Regulation (EU) 2017/891.
Values to be used can be found on the European Union’s TARIC Consultation database.
How to complete your import declaration If you would usually use valuation methods 2, 3, 4, 5 or 6, you should:
• Enter ‘1’ in DE 4/16 instead of 2, 3, 4, 5 or 6.
• Enter document code ‘N935’ in DE 2/3.
• Not enter ‘E01’ or ‘E02’ in DE 1/11 (because only valuation method 1 can be used at this time). If no other code is applicable for DE 1/11, please enter, ‘000’.
• Enter the AI code ‘NIIMP’ as usual in DE 2/2.
• Use the free format part of DE 2/2 to enter the valuation method that should have been used if different from valuation method 1. For example, ‘NIDOM VM4’.
If you are using an SPV or SIV value, you will also need to calculate the value yourself, following the instructions given above, and enter it in DE 4/14.</t>
  </si>
  <si>
    <t>425</t>
  </si>
  <si>
    <t xml:space="preserve">When submitting an amendment to D.E. 4/19 FreightChargeAmount on an SRDS declaration, the subsequent DMSRES Trader Notification generated by DMS will not contain the details of the amendment.
There is no workaround for this KEL. Until a fix is delivered, the DMSRES notification will be generated without the detail of the amendment to D.E. 4/19. Traders can still make the amendment successfully, but they will not be notified of this in the Trader Notifications. </t>
  </si>
  <si>
    <t>426</t>
  </si>
  <si>
    <t> When a licence is declared in DE 2/3 which has the same document ID as another (non-license) document declared in the same goods item (on any import or export declaration type), the declaration will not be rejected and a reservation may not be correctly confirmed against the license as a result. Additionally, should an invalidation message be sent between clearance and exit on an exports declaration, we may not see the reservation correctly cleared. As a workaround, please ensure that license IDs declared in DE 2/3 are unique in each goods item.</t>
  </si>
  <si>
    <t>430</t>
  </si>
  <si>
    <t>When ASVX (% volume Hectolitre) is declared as a Measurement Unit in D.E 4/4, then the System incorrectly applies validation rules relating to ASV, resulting in the the declaration being rejected. As a workaround, only declare ASV (% volume) on a declaration when it is required</t>
  </si>
  <si>
    <t>431</t>
  </si>
  <si>
    <t>DMSALV trader notification in TT provides the date/time stamp in UTC+1 instead of UTC as expected in alignment with other trader notifications. The functionality in Live will not be affected. Workaround: convert the date/time stamp provided on the DMSALV trader notification in TT from UTC+1 to UTC.</t>
  </si>
  <si>
    <t>432</t>
  </si>
  <si>
    <t>DMSCLE trader notification post a re-arrival provides the date/time stamp in UTC+1 instead of UTC as expected in alignment with other trader notifications. Workaround: convert the date/time stamp provided on the DMSCLE trader notification from UTC+1 to UTC.</t>
  </si>
  <si>
    <t>434</t>
  </si>
  <si>
    <t>CDS allows for a given combination of 2 Data Elements to be restricted depending on the presence of a 3rd data element. When the allowed combination of 2 data elements is dependant on the DE 1/11 code, if there are multiple DE 1/11 codes per goodsitem (e.g in the case of a Special Fiscal territories declaration, where DE 1/11 code 15F must be declared in addition to any other 1/11 codes), the condition fails to trigger. This can cause declarations to be accepted, even if the declared combination of data elements 1 and 2 are incorrect.</t>
  </si>
  <si>
    <t>436</t>
  </si>
  <si>
    <t>When a declaration is rejected due to missing Procedure Category any subsequent DIS query on that MRN (eg DIS status service) will fail to return the requested MRN details and will instead respond with a 500 error (Internal Server Error). DIS currently expects Procedure Category to always be present in order to derive Declaration Type so DIS will be changed to treat Procedure Category as optional and to return a blank Declaration Type for DIS queries on any declarations where Procedure Category is missing</t>
  </si>
  <si>
    <t>445</t>
  </si>
  <si>
    <t>Impact: If DE 1/10 is in list #PreferenceProcedures, DE 4/17 is mandated by BR343_110 for declaration types with procedure categories H1,H3,H4,H5, but the wrong sequence numeric is returned.
Workaround: No Workaround has been identified.</t>
  </si>
  <si>
    <t>446</t>
  </si>
  <si>
    <t>When a request is submitted for a MUCR into CDS and responses are received simultaneously from both CDS and CHIEF, occasionally CDA may suppress an aggregated response being sent to the requestor/response recipient.
The workaround is to re-submit the message and/or query both ILE/CHIEF to understand the latest status of your consignment.</t>
  </si>
  <si>
    <t>448</t>
  </si>
  <si>
    <t>If CDA has a loss of connection to Rabbit MQ, then no responses will be received from CHIEF and hence passed to the requestor for MUCRs or CHIEF declarations. HMRC to be contacted for a re-start of CDA.
Workaround: None</t>
  </si>
  <si>
    <t>449</t>
  </si>
  <si>
    <t>When responses are received in close succession from CHIEF and ILE, there is the possibility of responses being duplicated to the end user.
The workaround is to ignore the duplicate responses or process them as per BAU as the values in the response will not have changed from the previous response.</t>
  </si>
  <si>
    <t>450</t>
  </si>
  <si>
    <t>When responses are received in close succession from CHIEF and ILE., there is the possibility that both responses will be sent to the end user with different data.
The workaround is to query CHIEF and/or ILE to understand the status of the consignment in the requisite systems.</t>
  </si>
  <si>
    <t>452</t>
  </si>
  <si>
    <t>When a request is submitted for a MUCR into CDS and responses are received simultaneously from both CDS and CHIEF, then occasionally an exception occurs within CDA which prevents any response being sent out.
Workaround is to re-submit the message and/or query both ILE/CHIEF to understand the latest status of your consignment.</t>
  </si>
  <si>
    <t>453</t>
  </si>
  <si>
    <t>In rare occurences where two responses are received by CHIEF at the same time on different threads, the MUCR/DUCR for one of the responses is copied across to the second. This means that one of the responses will have an incorrect MUCR/DUCR returned. Note that this error occurs on the response message. The request message is not affected. Data in CHIEF and ILE will reflect changes to the MUCR/DUCR in the request.
Workaround: On repeating the request, the correct MUCR/DUCR will be returned.</t>
  </si>
  <si>
    <t>311</t>
  </si>
  <si>
    <t>CDS is currently incorrectly blocking the declaration of an importer's EORI when importing NATO forces mail using DE 1/11 code 1NP and is mandating the completion of the name and address instead. Until this is rectified, the NATO forces mail should be declared with the name and address fields completed instead of the EORI. The name field in this case can be completed with the office responsible for the mail rather than the name of an individual.</t>
  </si>
  <si>
    <t>Resolved on 19/07/2022</t>
  </si>
  <si>
    <t>This will be fixed in Trade Test as part of TTM19.0.1, scheduled for July 2022. This has been identified as a known difference between the Paper Tariff and CDS. This KEL entry will shortly be removed from the External KEL and we ask that you continue to track this issue as KD39 in the 'CDS Consolidated Workaround Document' on the HMRC Developer Hub.</t>
  </si>
  <si>
    <t>454</t>
  </si>
  <si>
    <t>In around 3-5% of all EDR transactions, a 15 minute delay occurs. This is due to intermittent network connectivity issues between CDS and CHIEF, which causes CDS to back off for 15 minutes before retrying.
Workaround: None</t>
  </si>
  <si>
    <t>This will be fixed in Trade Test as part of TTM19.0.1, scheduled for July 2022.</t>
  </si>
  <si>
    <t>456</t>
  </si>
  <si>
    <t>For declarations which include AI codes NIIMP and NIAID, duty calculation should return a full subsidy reservation and should trigger the collection of a Security for the difference in the Customs Duties between the EU (e.g. 4%) and the UK (e.g. 0%). However, the calculation response is not triggering security and so the A50 Customs Duty Amount is being charged outright. 
Workaround: None</t>
  </si>
  <si>
    <t>This defect was fixed in Production as part of CDS3.7.0 at the end of June. It will then be fixed in Trade Test as part of TTM19.0.1, scheduled for July 2022.</t>
  </si>
  <si>
    <t>457</t>
  </si>
  <si>
    <t>In some cases, if an EAC is sent to close a MUCR that does not exist, a UKCTRL is not received as expected.
Workaround: None.</t>
  </si>
  <si>
    <t>459</t>
  </si>
  <si>
    <t>When a request is submitted for a MUCR into CDS and responses are received simultaneously from both CDS and CHIEF, then occasionally CDA may suppress an aggregated response being send to the requestor/response recipient.
Workaround: re-submit the message and/or query both ILE/CHIEF to understand the latest status of your consignment.</t>
  </si>
  <si>
    <t>344</t>
  </si>
  <si>
    <t>Some valid Export Procedure Code (DE 1/10) and Additional Procedure Code (DE1/11) combinations, as published in the latest version of Tariff guidance, are not yet available in the CDS system.  Changes on the 'July 2020 Update (1)' tab of the 'CDS Guidance on Exports Completion Rule Changes' document lists all the valid DE 1/10 and DE 1/11 combinations for exports, and the 4th column highlights those DE 1/11 code combinations which are not yet available in the CDS system, with an explanatory note in column 5.</t>
  </si>
  <si>
    <t>Resolved on 18/08/2022</t>
  </si>
  <si>
    <t>346</t>
  </si>
  <si>
    <t xml:space="preserve">The latest version of Exports tariff guidance changes valid combinations of DE 1/11 (Additional Procedure Code) and some other data elements (DE 3/39, 2/3 and 2/2).  None of these changes on the 'July 2020 Update (3)' tab of the 'CDS Guidance on Exports Completion Rule Changes' document have yet been applied to the CDS system. </t>
  </si>
  <si>
    <t>370</t>
  </si>
  <si>
    <r>
      <t>Some valid Import Procedure Code (DE 1/10) and Additional Procedure Code (DE1/11) combinations, as published in the latest version of Imports Inventory Tariff guidance, are not yet available in the CDS system.</t>
    </r>
    <r>
      <rPr>
        <sz val="11"/>
        <color theme="1"/>
        <rFont val="Calibri"/>
        <family val="2"/>
        <scheme val="minor"/>
      </rPr>
      <t xml:space="preserve"> On the '</t>
    </r>
    <r>
      <rPr>
        <i/>
        <sz val="11"/>
        <color theme="1"/>
        <rFont val="Calibri"/>
        <family val="2"/>
        <scheme val="minor"/>
      </rPr>
      <t>12022021 CDS Guidance on C21i Completion Rule Changes v1.0; tab Dec 2020 Update (1)', t</t>
    </r>
    <r>
      <rPr>
        <sz val="11"/>
        <color theme="1"/>
        <rFont val="Calibri"/>
        <family val="2"/>
        <scheme val="minor"/>
      </rPr>
      <t>he 4</t>
    </r>
    <r>
      <rPr>
        <vertAlign val="superscript"/>
        <sz val="11"/>
        <color theme="1"/>
        <rFont val="Calibri"/>
        <family val="2"/>
        <scheme val="minor"/>
      </rPr>
      <t>th</t>
    </r>
    <r>
      <rPr>
        <sz val="11"/>
        <color theme="1"/>
        <rFont val="Calibri"/>
        <family val="2"/>
        <scheme val="minor"/>
      </rPr>
      <t xml:space="preserve"> column highlights in red those DE 1/11 code combinations which are not yet available in the CDS system, with explanatory notes in column 5.</t>
    </r>
  </si>
  <si>
    <t>371</t>
  </si>
  <si>
    <r>
      <t>Some valid Export Procedure Code (DE 1/10) and Additional Procedure Code (DE 1/11) combinations, as published in the latest version of Exports Inventory Tariff guidance, are not yet available in the CDS system.</t>
    </r>
    <r>
      <rPr>
        <sz val="11"/>
        <color theme="1"/>
        <rFont val="Calibri"/>
        <family val="2"/>
        <scheme val="minor"/>
      </rPr>
      <t xml:space="preserve"> On the '</t>
    </r>
    <r>
      <rPr>
        <i/>
        <sz val="11"/>
        <color theme="1"/>
        <rFont val="Calibri"/>
        <family val="2"/>
        <scheme val="minor"/>
      </rPr>
      <t>12022021 CDS Guidance on C21e Completion Rule Changes v1.0; tab Dec 2020 Update (1)', t</t>
    </r>
    <r>
      <rPr>
        <sz val="11"/>
        <color theme="1"/>
        <rFont val="Calibri"/>
        <family val="2"/>
        <scheme val="minor"/>
      </rPr>
      <t>he 4</t>
    </r>
    <r>
      <rPr>
        <vertAlign val="superscript"/>
        <sz val="11"/>
        <color theme="1"/>
        <rFont val="Calibri"/>
        <family val="2"/>
        <scheme val="minor"/>
      </rPr>
      <t>th</t>
    </r>
    <r>
      <rPr>
        <sz val="11"/>
        <color theme="1"/>
        <rFont val="Calibri"/>
        <family val="2"/>
        <scheme val="minor"/>
      </rPr>
      <t xml:space="preserve"> column highlights in red those DE 1/11 code combinations which are not yet available in the CDS system, with explanatory notes in column 5</t>
    </r>
    <r>
      <rPr>
        <sz val="11"/>
        <color rgb="FF000000"/>
        <rFont val="Calibri"/>
        <family val="2"/>
        <scheme val="minor"/>
      </rPr>
      <t>.</t>
    </r>
  </si>
  <si>
    <t>460</t>
  </si>
  <si>
    <t>If multiple requests are sent with the same MUCR and Movement Reference before the ERS/EMRs are returned from Chief, the responses will all be sent to the last conversationId, rather than the conversationId of the original request.
Workaround: Either use a Movement Reference that is unique for that MUCR and request; or wait for an EMR between before sending each request with the same MUCR and Movement Reference.</t>
  </si>
  <si>
    <t>The fix version of this defect has been updated due to a dependency on SCP_CR044, further information can be found on the 'Change Requests' tab.</t>
  </si>
  <si>
    <t>212</t>
  </si>
  <si>
    <t>CDS is currently rejecting declarations if certain data elements are completed when not required by the data set for the declaration category - "Not Required" data elements. We are reviewing the data elements with a view to permitting declaration of "Not Required" data elements where this will not cause any knock on effects. Changes will be delivered in future releases. In the meantime the workaround will be to only declare data elements that are required by the data set for the declaration category being used.</t>
  </si>
  <si>
    <t>Closed - not a defect - 18/08/2022</t>
  </si>
  <si>
    <t>316</t>
  </si>
  <si>
    <t>If, during Dual Running, a hyphen is included in the MUCR, it will fail validation with error code "CDS12133" (MUCR Format Not Valid in DMS). However, the DMSREJ does not include a pointer block for the invalid MUCR. The trader would have to infer that the error lay with the MUCR from the error message.</t>
  </si>
  <si>
    <t>Closed - This entry has been closed as it has been identified as user error rather than a system defect 18/08/2022</t>
  </si>
  <si>
    <t>376</t>
  </si>
  <si>
    <t xml:space="preserve">When testing DMSALV notifications in CDS TT/TDR environments, the original declaration should include the appropriate ‘trigger word’ in Goods Description DE 6/8. Currently, some of the trigger words relating to ALVS are case sensitive (e.g. "ttalvsdecisionHold1") and if not followed, a DMSALV will not be returned. As a workaround, traders are advised to follow the case format as provided in the trade test emulator guidance until the defect has been resolved to allow trigger words in all case combinations. </t>
  </si>
  <si>
    <t>424</t>
  </si>
  <si>
    <t>The DMSQRY and DMSALV notifications do not look like a DMS trader notification as expected. There is no difference functionally, because traders can still successfully receive trader notifications, but there are cosmetic differences. This means that a trader may think there is an issue with DMS because the notifications they receive do not look like a DMS trader notification. The expectation is that the Traders software will need to be able to ingest the DMSQRY and DMSALV notifications. There is currently no workaround for this issue.</t>
  </si>
  <si>
    <t>Closed - This entry has been closed as it has been recognised as a system design decision, not a system defect 18/08/2022</t>
  </si>
  <si>
    <t>277</t>
  </si>
  <si>
    <t xml:space="preserve">On Exports declarations, where Direct or Indirect Representation is indicated in Data Element 3/21 (values "2" or "3"), Representative details will be incorrectly required (in either DE 3/19 - Name and Address details or DE 3/20 - Representative i.d.) even when the Representative is the same Party as the Declarant. (A similar issue on Imports declarations (KEL 038) had been resolved previously) </t>
  </si>
  <si>
    <t>Closed - this entry has been closed as it was resolved as part of CDS 3.7.0.</t>
  </si>
  <si>
    <t>305</t>
  </si>
  <si>
    <t>“Catch all” KEL entry to say "ImportTariff": This tab lists discrepancies between the May 2020 version of Imports Tariff completion guidance and the current CDS implementation.</t>
  </si>
  <si>
    <t>200</t>
  </si>
  <si>
    <t>CDS is incorrectly mandating that a CCG, when required, must be declared in the “Other Guarantee Reference” field. The CCG should actually be declared in the GRN field. Until the system is updated with the correct requirement, the workaround is to continue declaring the CCG as “Other Guarantee Reference”. The CCG can currently be declared in the GRN field but would need to be repeated under “Other Guarantee reference”. GRN must only be completed with a valid guarantee reference, so if using “guaranteenotrequired” then this must only be declared under “Other Guarantee Reference”.</t>
  </si>
  <si>
    <t>Closed - not a defect - 01/09/2022</t>
  </si>
  <si>
    <t>Mandating the CCG as "Other guarantee reference" rather than as "GRN" is now the end state arrangement and will not be changed, so the requirement for an amendment has been removed. The Declaration Completion Instructions have been amended to reflect this specification.</t>
  </si>
  <si>
    <t>197</t>
  </si>
  <si>
    <t>Though HMRC require the authorisation related to the previous procedure to be declared, it will have been validated when the goods went into that procedure, so there is no need for us to repeat the validation when the goods come out again. Until we can address this, you may get erroneous rejections in circumstances when the original authorization has changed or expired whilst the goods were under the procedure (e.g. under IPR or in a warehouse). If the trader holds a new authorisation which is valid at the time of the new declaration, please use that reference instead.</t>
  </si>
  <si>
    <t>This entry does not require resolution. Changes to Business Rules will prevent rejection of document/authorisation codes.</t>
  </si>
  <si>
    <t xml:space="preserve">Tariff guidance advises DE 3/40 is no longer required with requested procedure "42" on I1 C&amp;F declarations, but CDS still requires role code FR2 plus FR1 or FR3 in DE 3/40 . </t>
  </si>
  <si>
    <t>Closed on 29/09/2022</t>
  </si>
  <si>
    <t>This entry does not require resolution due to changes to Business Rules.</t>
  </si>
  <si>
    <t>System functionality is incorrectly mandating completion of DE 4/17 (Preference code) on an I1 declaration when the requested procedure DE 1/10 is 44 or APCs (DE 1/11) include code 1SW.     As you cannot claim quota on an I1 declaration, DE 4/17 should not be required.</t>
  </si>
  <si>
    <t>383</t>
  </si>
  <si>
    <t xml:space="preserve">Commodity codes for aircraft parts do not currently permit use of any VAT rate other than 20%. Imports of aircraft parts which comply with the appropriate conditions should be able to claim exemption from paying VAT by declaring VATZ but this would currently be rejected. Until this is resolved, relief from VAT will need to be claimed by use of the duty override procedure. The duty calculation worksheet will require document code 9WKS and must indicate that VAT relief is being claimed on the basis of the goods being intended for qualifying use. </t>
  </si>
  <si>
    <t>VATZ has been added to the comm codes eligible for this VAT rate.</t>
  </si>
  <si>
    <t>Tariff guidance states that for DE 2/1 Previous Document, CPD is mandated with DE 1/11 13C. However, CPD cannot currently be used on an export declaration</t>
  </si>
  <si>
    <t>Tariff guidance states that Declaration Type code CO can be used for goods dispatched to Special Fiscal Territories or countries with which the EU has formed a customs union. Currently, code CO can only be used for Special Fiscal Territories</t>
  </si>
  <si>
    <t>This entry does not require resolution due to updates to Reference data.</t>
  </si>
  <si>
    <t xml:space="preserve">Currently the only guarantee type that can be used on a C21e is code X. However, guarantee types 0, 1, 5, 8 and C should all be acceptable in this scenario. </t>
  </si>
  <si>
    <t>When declaring DE 1/1 code 17X, Tariff guidance states that the carrier details must be declared in DE 3/32 unless they are the same as the declarant declared in DE 3/18 or the presenting party declared in DE 3/41. However, CDS currently requires carrier details must be declared even if the same party has been declared as the declarant or presenting party.</t>
  </si>
  <si>
    <t>CR064</t>
  </si>
  <si>
    <t>Currently, consolidated requests are receiving conflicting messages from CHIEF and CDS instead of a single aggregated response. As such, a change request is being progressed to ensure that system requirements for CDA processing can eliminate conflicting and duplicate responses.</t>
  </si>
  <si>
    <t>Resolved as part of CDS 3.8.0</t>
  </si>
  <si>
    <t>CR147 / (CR065)</t>
  </si>
  <si>
    <t>Presently, CDS does not send EMR/ERS messages to all movement submitters for a MUCR /DUCR; only the last movement requestor receives this update. This change request will ensure that on occasions where a single shipment is arrived in more than one location, all relevant actors are informed of the most recent route / UCR status.</t>
  </si>
  <si>
    <t>SCP_CR044</t>
  </si>
  <si>
    <t>CSPs have designed their CDS export inventory systems to treat SOE 4, ICS 6 as a seized shipment and SOE 4, ICS 3 as a cancelled declaration (by either trader or HMRC). Changes to existing mappings are as follows:
CHIEF SOE of ‘1’ and ‘any’ ICS value should be mapped to a CDS SOE value of ‘14’.
CHIEF SOE of ‘9’ and ICS value of ‘92’ should be mapped to a CDS SOE value of ‘4’ and ICS value of ‘3’.
CHIEF SOE of ‘9’ and ICS value ‘anything other than 92 or 93’ should be mapped to a CDS SOE value of ‘4’ and ICS value of ‘6’.
CHIEF SOE of ‘8’ and an ICS value is not available, this should be mapped to a CDS SOE value of ‘D’
CHIEF SOE of ‘9’ and an ICS value is not available, this should be mapped to a CDS SOE value of ‘4’</t>
  </si>
  <si>
    <t>469</t>
  </si>
  <si>
    <t>When the MUCR doesn't have any declarations contained within it in both CHIEF and ILE, then the expected CRC-102 may be duplicated. With the duplicate containing an incorrect location and ucrType; this duplicate should be ignored. When the MUCR doesn't have any declarations contained within it in both CHIEF and ILE, but the MUCR exists in ILE; then the expected CRC-102 may be duplicated. Both CRC-102s will contain the incorrect ucrType as 'D'
Workaround: The duplicate should be ignored and the ucr used to determine the request type.</t>
  </si>
  <si>
    <t>This entry does not require resolution as the ILE Service Design document outlines the use of ucrTypes.</t>
  </si>
  <si>
    <t>447</t>
  </si>
  <si>
    <t>Following the upgrade to TTM 18.0.0, the DMS notifications have changed, the DateTimeString is now being sent in UTC+1 rather than UTC format. 
Old: &lt;_2_2:DateTimeString xmlns:_2_2="urn:wco:datamodel:WCO:Response_DS:DMS:2" formatCode="304"&gt;20220325174247Z&lt;/_2_2:DateTimeString&gt;
New: &lt;_2_2:DateTimeString formatCode="304"&gt;20220330134253+01&lt;/_2_2:DateTimeString&gt;
Workaround: none</t>
  </si>
  <si>
    <t>Resolved on 30/07/2022</t>
  </si>
  <si>
    <t>This entry was resolved as a byproduct of production release CDS 3.7.1</t>
  </si>
  <si>
    <t>480</t>
  </si>
  <si>
    <t>For GVMS declarations with a DUCR, if the declaration is rejected on arrival the DUCR can not be re-used in any subsequent declarations. This contrary to CDS design.</t>
  </si>
  <si>
    <t>Resolved on 01/12/2022</t>
  </si>
  <si>
    <t>099</t>
  </si>
  <si>
    <t>Declaration types B and E should be rejected if a commodity code is entered which requires a licence, prohibition or restriction measure. Currently due to this defect this restriction is not enforced.</t>
  </si>
  <si>
    <t>Resolved on 14/12/2022</t>
  </si>
  <si>
    <t>441</t>
  </si>
  <si>
    <t>When a trader submits additional message on a declaration to remove goods shipment from the declaration, the declaration should be rejected as this is a mandatory field. The error pointer coming back with this rejection should not contain sequence numeric tag at goods shipment, however the error pointers displays sequence numeric at goods shipment (67A) parent tag and this is incorrect and could mislead the trader.</t>
  </si>
  <si>
    <t>442</t>
  </si>
  <si>
    <t>The lack of SequenceNumeric tags on GovernmentProcedure entries on a DMSRES message could cause DMSRES callback messages to not be successfully processed in certain scenarios.</t>
  </si>
  <si>
    <t>451</t>
  </si>
  <si>
    <t>For a declaration that has DE 1/7 declared, when EDL message is received the CSP/trader just gets the UKCTRL response but does not receive DMSEOG response.</t>
  </si>
  <si>
    <t>468</t>
  </si>
  <si>
    <t>In some cases, when an EAC is raised to reassociate a DUCR with a new MUCR, an ACK is sent for the DUCR but an EMR is not sent for the new MUCR.</t>
  </si>
  <si>
    <t>471</t>
  </si>
  <si>
    <t xml:space="preserve">If a clearance EMR (SOE = 7) is sent to CDA from CHIEF and the MUCR is unknown to ILE, the clearance EMR is not sent. </t>
  </si>
  <si>
    <t>476</t>
  </si>
  <si>
    <t>Occasionally minor communication issues between CDS and CHIEF result in larger than expected delays for responses.</t>
  </si>
  <si>
    <t>483</t>
  </si>
  <si>
    <t>When a declaration is rejected due to issues with commodity classification type code "CV" {CUS code - DE 6/13}, the incorrect SequenceNumeric is reported in the DMSREJ.</t>
  </si>
  <si>
    <t>435</t>
  </si>
  <si>
    <t xml:space="preserve">Declarations are rejected in DMS due to having an invalid goods location code of more than 35 characters in the DE 5/23 (Location of Goods - Identification of Location) field. This means the declaration will not be available in DIS to be returned if the declaration is queried via the Declarations Query Services
</t>
  </si>
  <si>
    <t>Resolved on 19/12/2022</t>
  </si>
  <si>
    <t>440</t>
  </si>
  <si>
    <t>When there is one or more missing TARIC Additional Codes in the declaration (DE 6/16), the DMSREJ &lt;statementDescription&gt; will attempt to provide the full list of permitted / expected additional codes that are returned by the Tariff service.
At present, this list is truncated if the number of codes returned by Tariff exceeds the schema limit of the field - this limit is 512 characters. Consequently, in these circumstances the DMSREJ will not provide all the potential TARIC Additional Codes (DE 6/16) that may apply to the goods. Traders &amp; Agents must refer to the commodity code in the Online Tariff to identify the TARIC Additional Code (DE 6/16) that applies to the goods.</t>
  </si>
  <si>
    <t xml:space="preserve">Closed on 20/12/2022 - Not a defect. </t>
  </si>
  <si>
    <t>467</t>
  </si>
  <si>
    <t xml:space="preserve">When an EAC associate is submitted, an EMR will not be received by the last successful EAL submitter. </t>
  </si>
  <si>
    <t xml:space="preserve">Resolved on 14/12/2022 </t>
  </si>
  <si>
    <t>This defect is related to KEL 468 which was previously resolved on 14/12/2022.</t>
  </si>
  <si>
    <t>444</t>
  </si>
  <si>
    <t>The adjustment in BC in DE 4/9 is not functioning correctly which thus results in an incorrect value for VAT for DDP Import declaration.</t>
  </si>
  <si>
    <t>Closed on 05/01/2023 - Not a defect.</t>
  </si>
  <si>
    <t>475</t>
  </si>
  <si>
    <t>Any request that generates a CHIEF error is currently considered as blocking. This means that the CHIEF error will be sent regardless of severity and will block further messages. This defect was introduced in CDS Release 3.8.0.</t>
  </si>
  <si>
    <t>Resolved on 19/01/2023</t>
  </si>
  <si>
    <t>491</t>
  </si>
  <si>
    <t>Occasionally, when two messages are received from Chief at the same time, those messages are merged together. In this case the responses are invalid.</t>
  </si>
  <si>
    <t>Resolved on 24/01/2023</t>
  </si>
  <si>
    <t xml:space="preserve">Tariff guidance states that LRN must be unique ithin a 24 hour period. In CDS, however, this period of uniqueness can be as long as 48 hours. </t>
  </si>
  <si>
    <t>Closed on 22/02/2023 due to Tariff guidance update.</t>
  </si>
  <si>
    <t>The Traiff guidance has been updated as per the below: 
All Declaration Categories: The declarant must enter a unique reference number for the transaction.
The Local Reference Number (LRN) must be:·       
- Unique to the transaction       
- Within a 48-hour period      
- For the submitting trader
Declarations submitted, within a 48-hour period, by a user identity with a duplicate LRN will be rejected.</t>
  </si>
  <si>
    <t>463</t>
  </si>
  <si>
    <t>For inventory linked declarations - If a declaration is submitted without any commodity codes (e.g. C21e), subsequent movement requests with Master Opt of F will not receive responses from CDS.</t>
  </si>
  <si>
    <t>Resolved on 22/02/2023</t>
  </si>
  <si>
    <t>481</t>
  </si>
  <si>
    <t>In some cases, if an EAC is sent to close a MUCR that does not exist, a UKCTRL is not received as expected.</t>
  </si>
  <si>
    <t>498</t>
  </si>
  <si>
    <t>When different types of responses (e.g. UKCTRL and EMR) arrive at the same time, they are occasionally stored out of the expected sequence in the response table. This means that code expecting to process a UKCTRL ends up loading an EMR. An unhandled exception occurs then occurs meaning that the EMR (in this case) is not sent.</t>
  </si>
  <si>
    <t xml:space="preserve">In some cases CAMS_ILE sends the wrong response to a request.
</t>
  </si>
  <si>
    <t>Please note that this entry is related to KEL 491.</t>
  </si>
  <si>
    <t>CDS may in some instances fail to process an amendment message correctly and not apply the changes in that message to the declaration. In these cases the declaration will continue to be processed without the amendments applied. The trader will not receive any trader notifications related to the correction message (DMSRCV, DMSREJ, DMSRES etc).</t>
  </si>
  <si>
    <t>SCP_CR065 (CDSTT-3696)</t>
  </si>
  <si>
    <t>Currently an EAC associate request (to offload) only sends an EMR to the new MUCR.
This CR has been raised to send EMRs to both the old and new MUCRs. This will update the CSP with the new (cleared) status post offloading of the ROE1 DUCR.</t>
  </si>
  <si>
    <t>This CR has been delivered as part of EMRs To Old &amp; New MUCRs functionality in TTM21.1.0</t>
  </si>
  <si>
    <t>SCP_CR091(CDSTT-3658)</t>
  </si>
  <si>
    <t>This CR has been raised to ensure that the following functionality is available:
•	EMRs are sent for both the old MUCR and the new MUCR when a DUCR/MUCR is disassociated from an existing MUCR and then associated to a new MUCR
•	ERS/EMR are sent for a dissociated DUCR/MUCR when there is no immediate re-association to another MUCR
Please note that this CR is related to SCP_CR065.</t>
  </si>
  <si>
    <t>293</t>
  </si>
  <si>
    <t>CDS is incorrectly mandating the completion of SDE at item level for all SDP Supplementary Declarations (DE 1/2 code Y) when it should accept this code at either header or item level. The workaround is to declare SDE at least once at item level on type Y declarations.</t>
  </si>
  <si>
    <t>Resolved on 16/03/2023</t>
  </si>
  <si>
    <t>369</t>
  </si>
  <si>
    <r>
      <t xml:space="preserve">There are several instances where following the latest Exports Inventory Tariff data element completion requirements is not currently possible on the CDS system.  These variances are summarised on the tab 'ExportTariff' and also on highlighted on </t>
    </r>
    <r>
      <rPr>
        <i/>
        <sz val="11"/>
        <rFont val="Calibri"/>
        <family val="2"/>
        <scheme val="minor"/>
      </rPr>
      <t>12022021 CDS Guidance on C21e Completion Rule Changes v1.0; tab Dec 2020 Update (3) </t>
    </r>
    <r>
      <rPr>
        <sz val="11"/>
        <rFont val="Calibri"/>
        <family val="2"/>
        <scheme val="minor"/>
      </rPr>
      <t>document in the Developer Hub.</t>
    </r>
  </si>
  <si>
    <t>375</t>
  </si>
  <si>
    <r>
      <t xml:space="preserve">Exports Inventory Tariff guidance lists Declaration Type Codes (DE 1/1) and Additional Declaration Type codes (DE 1/2) that can be used with Procedure codes (DE 1/10). The changes highlighted in red on </t>
    </r>
    <r>
      <rPr>
        <i/>
        <sz val="11"/>
        <color theme="1"/>
        <rFont val="Calibri"/>
        <family val="2"/>
        <scheme val="minor"/>
      </rPr>
      <t xml:space="preserve">12022021 IM and EX Inventory Procedure Codes’; tab Export Procedure DE 1/10 </t>
    </r>
    <r>
      <rPr>
        <sz val="11"/>
        <color theme="1"/>
        <rFont val="Calibri"/>
        <family val="2"/>
        <scheme val="minor"/>
      </rPr>
      <t>and</t>
    </r>
    <r>
      <rPr>
        <i/>
        <sz val="11"/>
        <color theme="1"/>
        <rFont val="Calibri"/>
        <family val="2"/>
        <scheme val="minor"/>
      </rPr>
      <t xml:space="preserve"> tab Exports Add Proc (DE 1/11) </t>
    </r>
    <r>
      <rPr>
        <sz val="11"/>
        <color theme="1"/>
        <rFont val="Calibri"/>
        <family val="2"/>
        <scheme val="minor"/>
      </rPr>
      <t>have not yet been applied to the CDS system.</t>
    </r>
  </si>
  <si>
    <t>465</t>
  </si>
  <si>
    <t>For an EDL, if CDS receives ACKs from both CHIEF and ILE at the same time, no ACKs are returned to the CSP. As this is based on timing within a small window this occurs randomly.</t>
  </si>
  <si>
    <t>473</t>
  </si>
  <si>
    <t>CDA is sending both CHIEF and ILE control responses for EDL messages. As per design, the responses should be aggregated and only one sent.</t>
  </si>
  <si>
    <t>486</t>
  </si>
  <si>
    <t>Trader will have access to authorities granted to an EORI in the same Parent VAT Group that they should not have</t>
  </si>
  <si>
    <t>494</t>
  </si>
  <si>
    <t xml:space="preserve"> When using the DIS Search Function, if the GoodslocationID is not provided in the search criteria, updated declaration details will not be available.</t>
  </si>
  <si>
    <t xml:space="preserve">In some cases, CDA is sending both CHIEF and ILE responses. As per design, the responses should be aggregated and only one sent.
</t>
  </si>
  <si>
    <t>Tariff guidance states that. Customs Office of Exit is not required on a C21e when using procedure code 0019, but CDS currently requires a C21 even when using procedure code 0019. When using procedure code 0019, complete DE 5/12 with the code of the originally intended Customs Office of Exit</t>
  </si>
  <si>
    <t>This has been resolved via the delivery of CDSP-10485</t>
  </si>
  <si>
    <t>Additional Procedure Code 14C should be used for export to any of the continental shelf destination codes ZB, ZD, ZE, ZF, ZG, ZH, ZN, ZU, ZC, ZI, ZJ, ZK, ZL, ZS. Currently CDS only accepts use of  ZB, ZD, ZE, ZF, ZG, ZH, ZN, ZU, ZC</t>
  </si>
  <si>
    <t>Closed on 16/03/2023</t>
  </si>
  <si>
    <t>This entry does not require resolution due to updates to Reference data</t>
  </si>
  <si>
    <t xml:space="preserve">Tariff guidance states that when the goods are not sealed, declare number of seals and 0 the seal identification as NOSEALS. However, CDS currently requires that when goods sealed a sequence number of 1 and a seal identification of NOSEALs is used. </t>
  </si>
  <si>
    <t>Closed - Not a Defect 16/03/2023</t>
  </si>
  <si>
    <t>Examination identified that CDS is already providing the requested functionality</t>
  </si>
  <si>
    <t xml:space="preserve">The following document codes for prohibited and restricted goods cannot curently be declared on a C21e - 9107, 9108, 9111, 9112, 9113, 9114, C034, C635, C638, C639, C656, C673, N002, Y915. These should be acceptable in certain circumstances e.g. if using DE 1/11 code 12A with an ATA Carnet. </t>
  </si>
  <si>
    <t>This entry does not require resolution due to changes to Business Rules</t>
  </si>
  <si>
    <t>488</t>
  </si>
  <si>
    <t>There are instances where a correction message (COR) is not correctly processed and changes are not applied to the declaration. DMS will continue to process the declaration as is without the amendments applied. The trader will not receive any trader notifications related to the correction message.</t>
  </si>
  <si>
    <t>497</t>
  </si>
  <si>
    <t>REJ instead of Acc</t>
  </si>
  <si>
    <t>Impact statement: CDS allows declarations to be submitted in NI where there is a mismatch between the Preference Codes in the UK and EU Tariffs. However, business rules on the airworthiness document code 'C119' will prevent any other code than '119' being entered in DE 4/17 - Preference code '100' will result in a rejection. If this preference code is present in the EU Tariff, but not present in the UK Tariff, CDS will also not allow '119' to be entered in DE 4/17 and will issue a rejection.</t>
  </si>
  <si>
    <t>492</t>
  </si>
  <si>
    <t>You can currently only authorise one member of a VAT group (assuming that this is the scenario where characters 3-11 of the EORI are the same), at one time, to use another member's deferment, guarantee or cash account. If a further member of the VAT group is added to either DAN, CAN or GAN permissions, this will remove the authorisation for the group member previously authorised to use it. This is not an issue for use of a DAN given the VAT group will have access, although this will not be indicated in the dashboard UI.</t>
  </si>
  <si>
    <t>455</t>
  </si>
  <si>
    <t>It has been identified that there is a tariff calculation misalignment for tax type 441 (Tariff additional code X441), where CDS is not calculating the correct amount of excise in relation to quantity of beer. The excise decreases with the volume of beer instead of increasing.</t>
  </si>
  <si>
    <t>Closed on 31/03/2022</t>
  </si>
  <si>
    <t>This entry will not be resolved as it will be made redundant by the reform of Alcohol Duty and Reliefs scheduled for 01/08/2023.</t>
  </si>
  <si>
    <t>142</t>
  </si>
  <si>
    <t>Specific Authority is not supported in CDS. In Production, a Digital self-service will enable Deferment Account holders to grant short-term authorisations to use their account, avoiding the need for Specific Authority, but this functionality is not available in Trade Test. However the system will allow a '1207' document code in DE 2/3, which bypasses the need for standing authority on the deferment account. The declaration is accepted, but customs debt is not booked against the account, and no DMSTAX is returned (stuck declaration). There is no workaround, so specific authority test scenarios should be avoided.</t>
  </si>
  <si>
    <t>Resolved on 31/03/2023</t>
  </si>
  <si>
    <t>Re-Testing has confirmed that this KEL has already been resolved</t>
  </si>
  <si>
    <t>470</t>
  </si>
  <si>
    <t>If declaration updates quickly follow a movement request, EMRs or ERSs might not be sent. This is due to a caching issue where the cache does not have time to update between the results of the movement request being recorded and the EMR being generated.</t>
  </si>
  <si>
    <t>Resolved on 20/04/2023</t>
  </si>
  <si>
    <t>477</t>
  </si>
  <si>
    <t>If the last (or only) two DUCRs on a MUCR are cleared within seconds of each other, and are processed on separate CDA nodes the issued EMRs will not have P2P. This is due to the nodes not seeing the other's DUCR clearance at the point the EMRs are generated.</t>
  </si>
  <si>
    <t>496</t>
  </si>
  <si>
    <t xml:space="preserve">When the CHIEF response is prioritised and sent to the CSP the UKCTRL will not contain a movement reference.
</t>
  </si>
  <si>
    <t>501</t>
  </si>
  <si>
    <t>When attempting to close a MUCR unknown to CHIEF, a CHIEF error "Unable to close empty MUCR" is returned. Note that the transaction is successfully carried out on ILE, the notification is incorrect.</t>
  </si>
  <si>
    <t xml:space="preserve">If a clearance EMR is received from CHIEF and aggregated with an empty EMR from ILE, the resulting ROE will be zero, whatever routing CHIEF allocated.
</t>
  </si>
  <si>
    <t>Due to an intermittent caching issue. CDA is failing to send some EMR responses from CHIEF.</t>
  </si>
  <si>
    <t>Occasionally CAMS-ILE fails to send back CHIEF UKCTRL responses into CDS.</t>
  </si>
  <si>
    <t>084</t>
  </si>
  <si>
    <t xml:space="preserve">In DE 7/18 (Seal Number), completion guidance allows a single count of seals declared (up to 4 numerical characters) followed by up to 9999 individual identifiers.  Current schema prevents the provision of a seal count, only the list of Seal IDs (and sequence numeric) can be provided. Slides giving guidance on how to declare seals information have been provided to developers. </t>
  </si>
  <si>
    <t>Closed on 27/04/2023</t>
  </si>
  <si>
    <r>
      <t xml:space="preserve">As HMRC has adopted a combined Safety &amp; Security and Exports Declaration, it is not possible to resolve this defect within the DMS product without deviating from the core declaration data model. There are no active plans to make such an IT change.
</t>
    </r>
    <r>
      <rPr>
        <sz val="11"/>
        <color rgb="FFFF0000"/>
        <rFont val="Calibri"/>
        <family val="2"/>
        <scheme val="minor"/>
      </rPr>
      <t xml:space="preserve">
</t>
    </r>
    <r>
      <rPr>
        <sz val="11"/>
        <rFont val="Calibri"/>
        <family val="2"/>
        <scheme val="minor"/>
      </rPr>
      <t>This defect has been closed as the underlying business rule has now been removed so that this validation error will no longer occur.</t>
    </r>
  </si>
  <si>
    <t>289</t>
  </si>
  <si>
    <t>CDS accepts an Arrival Date in an EAA message to ILE (though makes no use of it) but when it is passed to CHIEF as part of the dual running solution, CHIEF rejects the presence of the DTM in the converted EDIFACT EAA message. In future we will add validation to prevent this problem. In the meantime to ensure a successful submission, please do not provide an arrival date/time in an EAA, only in an EAL.</t>
  </si>
  <si>
    <t xml:space="preserve">This defect has been closed as section 5.8 of the Dual Running Service Design document have been updated to address this defect. </t>
  </si>
  <si>
    <t>415</t>
  </si>
  <si>
    <t>The consignmentShipment tag is not being sent in the notify() message of topic 14 with sequence numeric 4 to DIS which means that DIS cannot ingest the message or the subsequent messages with the sequence numerics 5 onwards since DIS needs to ingest the notify() messages in sequence numeric order. The impact would be in DIS that the notify() messages cannot be processed so the data will not be available to the query for traders and DIS will have an out of data status for the declarations impacted. DIS will have the status based on the last correctly structured message, those with the error and all subsequent notifications will not be available. The trader will still receive the correct trader notifications but when they query the status on DIS the DIS status won't align to the status on DMS or the trader notifications sent which may cause confusion for traders.</t>
  </si>
  <si>
    <t>This defect has been closed as re-testing has found no further instances of this issue.</t>
  </si>
  <si>
    <t>409</t>
  </si>
  <si>
    <t>IRC data will only be present for a declaration for a brief period of time from when it is received, as there is a defect that causes the data element where IRC data is derived from to be deleted from the DIS record. This is caused by a defect in the DIS merging logic which has now been KELed. IRC data when received by DIS, will not be persisted in DIS throughout the declaration lifecycle until this defect is resolved.</t>
  </si>
  <si>
    <t>This defect is now closed as the Issue as the DIS internal processes have changed and defect raised would no longer occur.</t>
  </si>
  <si>
    <t>433</t>
  </si>
  <si>
    <t>The notify() message with sequence numeric 1 is not being sent to DIS which means that DIS cannot ingest the message or the subsequent messages with the sequence numerics 2 onwards since DIS needs to ingest the notify() messages in sequence numeric order. The impact would be in DIS that the notify() messages cannot be processed so the data will not be available to the query for traders and DIS will have an out of data status for the declarations impacted. DIS will have the status based on the last correctly structured message, those with the error and all subsequent notifications will not be available. The trader will still receive the correct trader notifications but when they query the status on DIS the DIS status won't align to the status on DMS or the trader notifications sent which may cause confusion for traders.</t>
  </si>
  <si>
    <t>This defect is now closed as re-testing has found no further instances of this issue.</t>
  </si>
  <si>
    <t>490</t>
  </si>
  <si>
    <t>When a declaration is cancelled in CDS an EMR will be received by the latest movement requestor but no ERS will be received.</t>
  </si>
  <si>
    <t>Closed on 11/05/2023</t>
  </si>
  <si>
    <t>This defect is now closed as this is a duplicate of KEL 512.</t>
  </si>
  <si>
    <t>458</t>
  </si>
  <si>
    <t>In some cases, if the required measurement units are not provided for an excise code, the declaration gets stuck in CDS and no notifications are sent.</t>
  </si>
  <si>
    <t>Resolved on 15/06/2023</t>
  </si>
  <si>
    <t>464</t>
  </si>
  <si>
    <t xml:space="preserve">A proforma invoice N325 (D.E.2/3) is currently not allowed with valuation method 1 (D.E. 4/16). </t>
  </si>
  <si>
    <t>466</t>
  </si>
  <si>
    <t>When an EAA or EAL is sent for an unknown MUCR, the ILE or CHIEF responses are sent twice.</t>
  </si>
  <si>
    <t>484</t>
  </si>
  <si>
    <t>When a procedure code includes 1FV, the security deposit does not include VAT. The deposit should include VAT.</t>
  </si>
  <si>
    <t>493</t>
  </si>
  <si>
    <t>When submitting a Final Supplementary Declaration (FSD) by self-representation, CFSP/SCDP traders are only required to complete DE 3/18 with their EORI. CDS will however currently mandate that either DE 3/21 must be completed with a representative status or an AI statement is entered on all declarations including the FSD.</t>
  </si>
  <si>
    <t>495</t>
  </si>
  <si>
    <t>Where a declaration is made with a quota claim and immediate payment is used as the MoP, the payment amounts shown in the DMSTAX issued at the end of the dwell time must be paid to release the goods (against the CDSI payment reference). Any additional charges due will be notified 24 hours later after the DMSROG message in the final DMSTAX (with CDSI reference). CDS will not however issue a DMSCLE when all payments are made for this declaration and will issue erroneous DMSCPR messages.</t>
  </si>
  <si>
    <t>509</t>
  </si>
  <si>
    <t>When an EDL response is received by both CHIEF and ILE as the same time, the CHIEF response is sent without aggregation. This means that both ILE and CHIEF responses are sent. This is an intermittent error.</t>
  </si>
  <si>
    <t>511</t>
  </si>
  <si>
    <t xml:space="preserve">Currently, CDS is unable to remove the entire CustomsValuation section and all its children by terminating the pointer chain with DocumentSectionCode=41A. This is inconsistent with other elements and design.
</t>
  </si>
  <si>
    <t>513</t>
  </si>
  <si>
    <t xml:space="preserve">If a declaration is raised with both a MUCR and a DUCR and the DUCR fails validation for any reason, the consolidation still occurs on ILE even though the declaration was rejected. This means that the MUCR can not be arrived until the failed DUCR is removed from the consolidation.
</t>
  </si>
  <si>
    <t>514</t>
  </si>
  <si>
    <t>When a declarant submits a correction that amends a Data Element within DutyTaxFees (such as DE 4/17), the correction can get stuck in a received state if the correction points to the parent element 'DutyTaxFees'. Any further attempts to correct or invalidate the declaration will not be possible.</t>
  </si>
  <si>
    <t>515</t>
  </si>
  <si>
    <t>If a C21 declaration is sent without a commodity code, a commodity code of 0 is created by ILE and added to the EMR when Master-Opt of F is used. Commodity code of 0 breaks schema validation on the EMR on the way out which prevents the EMR from being issued. This is a recurrence of KEL 463.</t>
  </si>
  <si>
    <t>519</t>
  </si>
  <si>
    <t>When there are multiple Corrections sent for Previous Documents, the expected outcome is that DMSRCV is sent once for every accepted Correction. The actual outcome is that sometimes the system sends two DMSRCVs against Corrections that amend DCRs and MCRs</t>
  </si>
  <si>
    <t>520</t>
  </si>
  <si>
    <t>CDS is currently responding with a HTTP 500 error if the declaration payload contains sequences of characters it  seems to be a Web Application attack (WAF rejection). As the exception is with the payload, CDS should be responding with a HTTP error in the 400 range.</t>
  </si>
  <si>
    <t>525</t>
  </si>
  <si>
    <t>CAM-ILE is not converting the 'goodsArrivalDateTime' correctly to Zulu date/time for the CHIEF responses (EAL/ERS) received, resulting in timestamps being returned an hour ahead of the actual 'goodsArrivalDateTime' that was in the EAL request message.</t>
  </si>
  <si>
    <t>Following a connectivity issue between CDS and CHIEF, there may be a delay processing the first CSP request received after connectivity is resumed. Subsequent requests should get processed without delays.</t>
  </si>
  <si>
    <t>527</t>
  </si>
  <si>
    <t>Due to an intermittent issue, CDS is failing to send some EMR responses originating in CHIEF.</t>
  </si>
  <si>
    <t>531</t>
  </si>
  <si>
    <t>When a prelodged CHIEF EMR is aggregated with an empty ILE EMR in CDA, CDA appends "H" twice to the Chief ROE, resulting in a route of "HH6". This is then rejected by EIS schema rules when issued, which then results in the EMR not being issued.</t>
  </si>
  <si>
    <t>472</t>
  </si>
  <si>
    <t>When Additional Procedure Code 1FV is entered on an I1 C&amp;F declaration, CDS will mandate completion of data elements and/or codes not normally mandated (but dependent) on an I1 C&amp;F declaration contrary to the dataset. Impacted DE's: DE 2/3; DE 4/14; DE 4/16; DE 5/15 and/or 5/16; DE 6/1;DE 6/14; DE 6/15</t>
  </si>
  <si>
    <t>Resolved on 13/07/2023</t>
  </si>
  <si>
    <t>If a new DUCR is consolidated with a MUCR that has been arrived, CHIEF EMRs will not be sent. This is due to the incorrect linking keys being used in CDA for CHIEF EMRs.</t>
  </si>
  <si>
    <t>If a CHIEF MUCR is closed, CDA elects to send the ILE error 6 instead of the CHIEF ACK.</t>
  </si>
  <si>
    <t>If an EAC is sent to associate a DUCR to a MUCR, the trader receives both a NACK from one system and an ACK from the other system. This is because CDA incorrectly sends the request to both systems, even though it's confirmed to belong to only one system. The subsequent ERS/EMR is suppressed due to the NACK.</t>
  </si>
  <si>
    <t>Due to an intermittent issue, CDS is failing to send some EMR responses originating in CHIEF (recurrence of KEL 503 &amp; 527).</t>
  </si>
  <si>
    <t>When multiple CHIEF EMRs are received by CDA in rapid succession for the same MUCR, CDA issues an incorrect aggregated EMR in the majority (80%) of cases. This can result in an incorrect status or sending multiple EMRs for the same movement reference leaving other remaining movement reference with no status update.</t>
  </si>
  <si>
    <t>Resolved on 27/07/2023</t>
  </si>
  <si>
    <t>This defect has been resolved, however a Change Request is being raised for the requirement related to movement reference.</t>
  </si>
  <si>
    <t>When CDA receives responses from both CHIEF and ILE at the same time, duplicate responses are sent. Affects all MUCR responses that should be aggregated.</t>
  </si>
  <si>
    <t>If a MUCR is used as a child in an EAC, that MUCR can never be used for subsequent movement requests involving CHIEF DUCRs as CDA is unable to deliver the CHIEF EMR. DUCR impact TBC.</t>
  </si>
  <si>
    <t>The CDS test data which will be loaded to the Trade Test environment on 12 July assumes a spoofed cutover date of 01 April (rather than 01 August) to allow the full range of calculations to be tested. There is a known error in this test data which means that declarations with 400 series codes and an acceptance date of 31 March (i.e. pre-cutover to the new regime) will be rejected when they should be accepted.</t>
  </si>
  <si>
    <t>Resolved on 10/08/2023</t>
  </si>
  <si>
    <t>EMR not sent to CSP after MUCR successfully closed.</t>
  </si>
  <si>
    <t>Resolved on 17/08/2023</t>
  </si>
  <si>
    <t xml:space="preserve">Tariff guidance for DE 2/7 permits declaration of non-GB warehouses but CDS does not currently accept any non-GB warehouse reference.  The exclusion also applies to Isle of Man warehouses / freezone.   </t>
  </si>
  <si>
    <t>Closed on 14/09/2023</t>
  </si>
  <si>
    <t>This defect was resolved as now the declarations for IoM warehouses will not be rejected on CDS - The value can be entered in DE 2/7 and the ID entered in DE 2/3 and will be accepted.</t>
  </si>
  <si>
    <t>If a UCR is arrived and a declaration subsequently added, the arrival of that declaration may fail. No ERS or EMR will be issued and the declaration will remain in pre-lodged state. This is intermittent.</t>
  </si>
  <si>
    <t>Resolved on 14/09/2023</t>
  </si>
  <si>
    <t>Phase 2 MUCRs do not achieve P2P as CDA only takes the first ILE EMR when aggregating with the CHIEF clearance EMR. The ILE clearance EMR is the last one issued, therefore no EMR with SOE 3 is ever issued. The MUCR cannot provide clearance in these cases.</t>
  </si>
  <si>
    <t xml:space="preserve">25/01/2024: Please note that this defect is superseded by SCP_CR303, details of this CR can be found on the '3. Change Requests' tab in the KEL. </t>
  </si>
  <si>
    <t>If a new EAA or EAL is sent for a previously cleared and departed DUCR which relates to multiple movements, an ERS is not sent. ERS should not be sent to previous movements of the same DUCR, but should be sent for new ones.</t>
  </si>
  <si>
    <t>When submitting an Exports Cancellation declaration, although the declaration was being invalidated on DMS, an incorrect SOE value of 3 as opposed to the expected 4 is displayed. This prevents declarants from invalidating export declarations</t>
  </si>
  <si>
    <t>CDS will not issue a meaningful error message, if a declaration is made using the new excise tax types with measurement unit SPR applicable, but the required measurement units are not supplied in DE 4/4.</t>
  </si>
  <si>
    <t>There are varying impacts of this defect in varying environments. In Trade Test, the following impact has been raised: EMR received with the wrong information (ROE/SOE).
In Live, the following impacts have been raised: missing EMR due to a CDA error where the EMR has been sent to the backout queue. Missing EMR due to being sent to wrong CSP. Incorrect EMR information.
The fix for this defect will resolve errors related to the sending of EMRs caused by failed or incorrect row aggregation in CDA (missing EMRs caused by the message ending up on the back out queue, being sent to the wrong CSP, or not being sent due to aggregation logic on the wrong message).</t>
  </si>
  <si>
    <t>Resolved on 11/10/2023</t>
  </si>
  <si>
    <t>For MUCRs with only CHIEF or CDS DUCRs, EMRs are only sent by CDA once the NACK is received from the other system. Any EMRs sent before the NACK is received are not sent. This is likely to have more impact on Ph2 than Ph1 as ILE will return its NACK almost instantaneously whereas CHIEF generally takes a few seconds.</t>
  </si>
  <si>
    <t>Closed on 26/10/2023</t>
  </si>
  <si>
    <t>KEL 550 has been closed as it is a duplicate of KEL 557.</t>
  </si>
  <si>
    <t>374</t>
  </si>
  <si>
    <r>
      <t xml:space="preserve">Imports Inventory Tariff guidance lists Declaration Type Codes (DE 1/1) and Additional Declaration Type codes (DE 1/2) that can be used with Procedure codes (DE 1/10) or Additional Procedure Codes (DE 1/11). The changes highlighted in red on </t>
    </r>
    <r>
      <rPr>
        <i/>
        <sz val="11"/>
        <color theme="1"/>
        <rFont val="Calibri"/>
        <family val="2"/>
        <scheme val="minor"/>
      </rPr>
      <t xml:space="preserve">12022021 IM and EX Inventory Procedure Codes’; tab Import Procedure DE 1/10 </t>
    </r>
    <r>
      <rPr>
        <sz val="11"/>
        <color theme="1"/>
        <rFont val="Calibri"/>
        <family val="2"/>
        <scheme val="minor"/>
      </rPr>
      <t>and</t>
    </r>
    <r>
      <rPr>
        <i/>
        <sz val="11"/>
        <color theme="1"/>
        <rFont val="Calibri"/>
        <family val="2"/>
        <scheme val="minor"/>
      </rPr>
      <t xml:space="preserve"> tab Imports Add Proc (DE 1/11); </t>
    </r>
    <r>
      <rPr>
        <sz val="11"/>
        <color theme="1"/>
        <rFont val="Calibri"/>
        <family val="2"/>
        <scheme val="minor"/>
      </rPr>
      <t>have not yet been applied to the CDS system.</t>
    </r>
  </si>
  <si>
    <t>Closed on 09/11/2023</t>
  </si>
  <si>
    <t>This defect has been closed as it is a duplicate of KEL 375 which was resolved in CDS4.0.1.</t>
  </si>
  <si>
    <t>499</t>
  </si>
  <si>
    <t>In most cases CDS should apply VAT (where due) on goods sent to the UK from Jersey/Guernsey. There are however approximately 2000 commodity codes for Jersey/Guernsey origin goods that do not have the correct measure present to apply VAT.</t>
  </si>
  <si>
    <t xml:space="preserve"> This defect has been closed, further details of this can be found under KD289 in the CDS Consolidated Workarounds document.</t>
  </si>
  <si>
    <t>On an EIDR supplementary declaration, if there is any issue with the YCLE previous document, CDS will currently respond with an error message referring to the Declaration Acceptance Date Time. This is misleading.</t>
  </si>
  <si>
    <t>Resolved on 09/11/2023</t>
  </si>
  <si>
    <t>This defect has been closed as it was resolved via a BRATBAU change which was successfully delivered in CDS4.1.0.</t>
  </si>
  <si>
    <t>When a MUCR is shut twice (e.g. on CHIEF and on CDS separately) the CHIEF error is currently blocking. This means that the CSP is not notified that the CDS MUCRs are shut.</t>
  </si>
  <si>
    <t>This defect has been closed as when Phase 2 of Exports Dual Running commences, HCI transactions will be decommissioned and this issue will no longer occur. Additional comms regarding this has been shared with affected individuals.</t>
  </si>
  <si>
    <t>Missing Document Codes</t>
  </si>
  <si>
    <t>Document codes C084, Y115, Y116, Y300, Y301, Y918, Y968, Y978, and Y980, 180C, 517C, A030, C082, C689, C715, D022, U073, U074, U113, U114, U115, U177 are currently missing from the CDS code lists and cannot be declared at present.</t>
  </si>
  <si>
    <t>Closed on 23/11/2023</t>
  </si>
  <si>
    <t>This defect was resolved as part of KD45, further details of this can be found in the CDS Consolidated Workarounds document.</t>
  </si>
  <si>
    <t>462</t>
  </si>
  <si>
    <t>Digital authentication is preventing developers from using the authorised loader roles documented in the Test Data Library to submit export movement requests in their end to end testing. We had previously advised this capability is available in Test to self-serve. Until this is resolved, SWH's will need to request a CSP to submit their movement messages, which we recognise introduces delays and requires co-ordination between SWH and CSP - i.e. all tests with EAL, EDL, EAA, EAC &amp; CST transactions. 
No production impact - this is a test environment limitation. KEL341 resolved the issue to ensure that CDS 3rd party software developers can now test Export movement messages (Loader Roles) - However invalid EORIs are still to be resolved and the changes to create test user function on the dev hub is also still outstanding.</t>
  </si>
  <si>
    <t xml:space="preserve">This defect has been closed as loaders were granted the access required to perform Loader functions in the Test Data Library. </t>
  </si>
  <si>
    <t>474</t>
  </si>
  <si>
    <t>Where a trader holds authorisation for Customs Supervised Exports (CSE), they should be allowed to quote their CSE authorisation for declaration Types B1, B2 or B4 in Data Element 3/39. In addition, where the trader also holds authorisation for Simplified Declarations for Export (SDE) they may quote this authorisation, in addition to their CSE authorisation, to facilitate the use of Type C1 Export Declarations Types C and F in Data Element 3/39. Where a trader holds a CSE authorisation and wishes to use it in conjunction with Type C1 (Type B) declarations they should be allowed to quote their CSE authorisation. Declarations for Low Value should use the appropriate Commodity Code for the goods yet goods exported using Non Statistical or Personal Effects should use the appropriate default Commodity Code(s) (to be advised) from Trade Statistics. Where CSE authorisations are quoted on an Export Declaration the Additional Procedure Code 1CS should be used in Data Element 1/11.</t>
  </si>
  <si>
    <t>This defect has been closed as the CSPs have confirmed that they are satisfied that the workaround proposed enables them to sufficiently test CSE and SDE authorisations in the TT environment.</t>
  </si>
  <si>
    <t>The Declaration Information Service does not currently respond to queries for declarations that were submitted using a manual tax calculation (AI statement 'OVR01').</t>
  </si>
  <si>
    <t>This defect has been closed as re-testing has determined that the issue no longer exists.</t>
  </si>
  <si>
    <t>If CSP submits InventoryLinkingMovementRequest with 'goodsArrivalDateTime' in Zulu format, the 'goodsArrivalDateTime' returned in CDS responses will be 1 hour behind.</t>
  </si>
  <si>
    <t>Resolved on 30/11/2023</t>
  </si>
  <si>
    <t>When submitting an IOSS declaration, CDS will currently mandate that D.E. 3/16 (Importer EORI), must be populated. It is not a requirement however for an importer to own an EORI in order to submit an IOSS declaration. Therefore, where an importer does not own an EORI, the following workaround must be followed to successfully submit an IOSS declaration to HMRC.</t>
  </si>
  <si>
    <t>Empty self-closing Part Number tags (e.g. &lt;ns2:ucrPartNo xmlns:xsi="http://www.w3.org/2001/XMLSchema-instance" xsi:nil="true"/&gt;) in CHIEF consolidation requests are rejected by CAMS-ILE even though they are schema compliant.</t>
  </si>
  <si>
    <t>CSP will not get P2P for their MUCR, as one of the DUCRs linked has failed to arrive successfully. If a MUCR has an arrival prior to declaration submission (with MUCR declared), DMS upon receiving the declaration submission would validate the declaration almost simultaneously (for both pre-lodged and arrived states) with the arrival of the declaration. This throws an error whereby the second round of validation does not complete, and the declaration remains in a pre-lodged state. ILE will only send CDA the EMR once all the declaration GPNs are successful; if one has failed (due to KEL602), the EMR doesn't get sent.</t>
  </si>
  <si>
    <t>In cases where multiple EALs are sent for the same DUCR over a short period of time (e.g. 20 over 3 seconds), movement references receiving an ERS at SOE 15 may not receive the final clearance ERS.</t>
  </si>
  <si>
    <t>Closed on 08/12/2023</t>
  </si>
  <si>
    <t>This has been closed as a defect as this is considered normal ILE behaviour. Further details including a workaround can be found under reference #4 on the 'CHIEF vs ILE Known Differences' tab of the Consolidated Workaround Document.</t>
  </si>
  <si>
    <t>During times of high volume, some CDA responses may be placed in a queue for later delivery.</t>
  </si>
  <si>
    <t>Closed on 25/01/2024</t>
  </si>
  <si>
    <t xml:space="preserve">Please note that this defect is superseded by SCP_CR135, details of this CR can be found on the '3. Change Requests' tab of the KEL. </t>
  </si>
  <si>
    <t xml:space="preserve">Exports </t>
  </si>
  <si>
    <t>If an apostrophe is used in the ‘transportID’ field in any movement request, CSP systems will not receive the expected response (ACK/EMR). This is because CDS does not receive any response from CHIEF where an apostrophe is included, so no messages are issued.</t>
  </si>
  <si>
    <t>Resolved on 01/03/2024</t>
  </si>
  <si>
    <t>438</t>
  </si>
  <si>
    <t>CDS49999 is an "unknown Tariff error." A defect means the text in the 'smart' error message is malformed; instead of containing a pointer to the goods item in error, it contains internal system error text. The cause of CDS49999 is the CDS Tariff generating an unexpected validation error, which CDS has not be programmed to translate into a "smart" error message for the trader. Two scenarios we have seen which generate this error are a missing document code for the new Fluorinated Greenhouse Gas measures, and a supplementary quantity = 0. (Supplementary quantity needs to either be &gt; 0 or else the message segment should not be present at all). If, after checking, neither of these scenarios apply to your declaration, then it will be necessary to contact the helpdesk.</t>
  </si>
  <si>
    <t>Resolved on 14/03/2024</t>
  </si>
  <si>
    <r>
      <rPr>
        <sz val="11"/>
        <rFont val="Calibri"/>
        <family val="2"/>
        <scheme val="minor"/>
      </rPr>
      <t>CDS should allow declarations to be submitted without the completion of DE 4/13 Valuation Indicator on an individual good item, when this is not required by the Tariff - it should only be required on a goods item when valuation method '1' is entered in DE 4/16 as shown here:</t>
    </r>
    <r>
      <rPr>
        <u/>
        <sz val="11"/>
        <rFont val="Calibri"/>
        <family val="2"/>
        <scheme val="minor"/>
      </rPr>
      <t xml:space="preserve"> https://www.gov.uk/government/publications/cds-uk-trade-tariff-volume-3-import-declaration-completion-guide/group-4-valuation-information-and-taxes#data-element-4-13
</t>
    </r>
    <r>
      <rPr>
        <sz val="11"/>
        <rFont val="Calibri"/>
        <family val="2"/>
        <scheme val="minor"/>
      </rPr>
      <t>However, CDS will currently require DE 4/13 to be completed on all goods items on a declaration, if valuation method '1' is entered in DE 4/16 for any goods item on the declaration.</t>
    </r>
  </si>
  <si>
    <t xml:space="preserve">During times of extreme load caused by large MUCRs (&gt;99 DUCRs associated), ILE may not function as expected, leading to repeated incorrect response messages.
Please note: KEL 615 will address the specific ILE issue experienced in trade test, this KEL will not resolve all ILE non-functional issues nor all issues due to submitting MUCRs with over 99 DUCRs associated. </t>
  </si>
  <si>
    <t>A MUCR does not receive an EMR response when arrived (EAL submitted) if the first line item in its relevant CHIEF declaration is deleted. This is because in CHIEF declarations, the prefix ‘DEL’ is added to commodity codes to delete items, and only numerical values are recognised by the system that supports exports dual running for inventory linking, managing communication between CDA and CHIEF, (CAMS-ILE).
This issue only presents where it is the first line item in a CHIEF declaration that has been deleted.</t>
  </si>
  <si>
    <t>Resolved on 18/04/2024</t>
  </si>
  <si>
    <t xml:space="preserve">This defect was resolved as part of a CHIEF fix which was implemented in Production. </t>
  </si>
  <si>
    <t>389</t>
  </si>
  <si>
    <t>Tariff additional quantity units (corresponds to CHIEF Box 31) have two parts, a "specifier" (3 characters) and a "qualifier" (one character).
The "qualifier" part of the additional units is optional, though for certain specifier codes (e.g. "NAR") it is expected.
If the "qualifier" is used, it needs to be a single character value. Submitting an empty value in the "qualifier" will cause a validation failure, so it should be removed if it is not going to be populated.
However, if a declaration is submitted with this error, CDS is unable to translate the Tariff validation error response into a DMSREJ notification, and stops processing. We have observed other examples of Tariff validation failures which have the same effect.
External Impact: no DMSREJ notification is being sent to Trader.</t>
  </si>
  <si>
    <t>Resolved on 09/05/2024</t>
  </si>
  <si>
    <t xml:space="preserve">This defect was resolved as the resolution has already been deployed. </t>
  </si>
  <si>
    <t>If a declaration has been incorrectly submitted by transposing the Master Unique Consignment Reference (MUCR) and Declaration Unique Consignment Reference (DUCR) details in D.E 2/1 (Z), i.e. quoting the MUCR reference in type code “DCR”, the declaration will be rejected at arrival. 
In addition, in the scenario where a MUCR is submitted in the DUCR field, CDS renders the MUCR unusable. For example, if a new declaration is subsequently submitted with the same MUCR and DUCR quoted with the correct type codes, the declaration will still be rejected on arrival.
Where a DUCR is submitted in the MUCR field, the declaration will be rejected at arrival. On resubmission of the same DUCR in the correct field, the DUCR is accepted. CDS will not render the DUCR unusable.</t>
  </si>
  <si>
    <t>Closed on 30/05/2024</t>
  </si>
  <si>
    <t>This defect has been closed,  further details of this can be found under Reference 12 in the ILE vs CHIEF Known Differences tab of the Consolidated Workarounds document.</t>
  </si>
  <si>
    <t>Declarations submitted with a valid Quota Order Number in D.E 8/1, are missing DMSROG and Provisional DMSTAX Trader Notifications.</t>
  </si>
  <si>
    <t>Resolved on 21/06/2024</t>
  </si>
  <si>
    <t>When applicable, CDS should generate a demand for CAP Entry Price security. CDS will not currently collect this security when it is required.</t>
  </si>
  <si>
    <t> In Trade Test and Trader Dress Rehearsal, emulators should enable system responses to reflect those expected in Live. However, when declarations are submitted containing a Licence Quota in D.E. 8/1 (signified by the use of a '4' in the 3rd digit of the Quota Order number), the declaration is accepted but does not clear.</t>
  </si>
  <si>
    <t>If a declarant queries the status of a MUCR which is closed but the MUCR's underlying declarations do not hold P2P (Status = SOE C) using 'DIS', the notification containing the result of the DIS query will be rejected and not displayed to the declarant. This is because, in this scenario, CAMS-ILE (dual running component that handles notifications between CDS and CHIEF) sends a notification with Topic Type 'C' (equivalent to SOE C) to DIS which will be rejected by DIS due to the Topic Type not being an integer.</t>
  </si>
  <si>
    <t>Where a part number with CHIEF generated Check Letter (e.g.001A) is included in a request (EAL or EAC) that also quotes the MUCR reference, CDA is unable to issue an ERS response back to the CSP. This presents to the CSP as a missing ERS in the following scenarios:
 - Following an EAC
 - Following a DUCR level EAL where the MUCR field is also populated.</t>
  </si>
  <si>
    <t>Closed 08/08/2024</t>
  </si>
  <si>
    <t xml:space="preserve">This defect has been closed as all declarations have migrated to CDS and there will be no further CHIEF involvement in exports. </t>
  </si>
  <si>
    <t>SCP_CR303</t>
  </si>
  <si>
    <t>At present, a CDS EMR response following an EAC or CST cannot always be guaranteed, because of dependencies on how the timing of the messages being collated between CHIEF and CDS intersect. 
If a MUCR is shut after arrival (via CST or EAC), an updated EMR may not be generated. For example, if the status in the external actor's system remains “Open”, it is likely that a missing EMR has occurred as a result of this timing issue.
If a held DUCR is disassociated from a MUCR (via EAC), an updated EMR may not be generated. For example, if the status in the external actor's remains “Held”, it is likely that a missing EMR has occurred as a result of this timing issue.
Across both scenarios, the issue will be resolved by re-arrival of the impacted MUCR, which will generate the expected EMR response.Please refer to MUCR best practice to mitigate the risk of not receiving an EMR response. 
SCP_CR303 will resolve such instances of missing EMR responses, by separating aggregation logic for movement responses and UKCTRLs, to reduce reliance on system timing and remove existing non-functional dependencies.</t>
  </si>
  <si>
    <t>Closed on 23/08/2024</t>
  </si>
  <si>
    <t xml:space="preserve">This CR has been closed as all the scope related to exports have migrated into CDS. </t>
  </si>
  <si>
    <t>If a declaration is invalidated after clearance, an updated ERS is not sent.</t>
  </si>
  <si>
    <t>Resolved on 23/08/2024</t>
  </si>
  <si>
    <t>Occasionally, CDS does not send interim (e.g. SOE 14) ERS during declaration updates. CDS should be consistent and send ERS after risking and clearance in all cases as these involve changes to ROE and SOE statuses.</t>
  </si>
  <si>
    <t>In some cases, an EMR will be issued with SOE 14 but with an pre-risking ROE. This is due to CDS issuing the EMR when risking is requested rather than when it is complete.</t>
  </si>
  <si>
    <t>When a MUCR is rearrived and one of the DUCRs is cancelled, 4 duplicate ERS messages are sent for the DUCR. This is believed to be due to 2 notifications sent from DMS multiplied by the 2 EALs involved in the arrival and rearrival.</t>
  </si>
  <si>
    <t>On trader cancellation of a registered pre-lodged declaration (when anticipated arrival-EAA has been sent), CDS is returning an ERS containing an SOE 11 ("Rejected on Arrival") rather than an ERS with SOE 5 ("Rejected"), as documented in Inventory Linking Exports Service Design document. This results in an incorrect status for the DUCR in the CSP inventory.</t>
  </si>
  <si>
    <t xml:space="preserve">In a mixed MUCR scenario (ie. MUCR containing both CHIEF and CDS DUCRs), where all CDS DUCRs are disassociated from the MUCR to make this a CHIEF-only MUCR, an SOE E status is returned (ie. ‘Consolidation contains no declarations’).
This is because the dual running component CDA is incorrectly only relaying the status from ILE (CDS component) which is that the MUCR is empty given there are no CDS declarations; however, the MUCR still contains CHIEF declarations, so the EMR response issued should reflect the remaining CHIEF MUCRs’ status. </t>
  </si>
  <si>
    <t>For arrival of CDS MUCRs with a large number of DUCRs, duplicate EMRs are sent approximately 25% of the time.</t>
  </si>
  <si>
    <t>If a more than one EDL is sent for a MUCR and the exit of any one of the DUCRs is still being processed, ILE incorrectly responds with Action Code 2, error code 14. A CR is being raised to resolve this.</t>
  </si>
  <si>
    <t>ILE allows more than 8 levels of MUCR to be consolidated, which is contrary to the Service Design and EAC Consolidator Processor design.</t>
  </si>
  <si>
    <t>If a new arrived DUCR is associated to a MUCR after shutting, ILE does not generate an updated EMR for that MUCR. This is contrary to the ILE design for consolidations.</t>
  </si>
  <si>
    <t xml:space="preserve">If the same CDS DUCR is incorrectly re-used for a subsequent declaration, this new declaration will be rejected (SOE 5) on the basis that there can only be a single instance of a DUCR, and the rejected status of the new declaration will overwrite the valid status of the original declaration. As a result, all operations such as movements, queries, and departures will not be permitted for this DUCR because the system now logs this DUCR as rejected.
Additionally, if a DUCR gains clearance but a new declaration is later submitted quoting the same DUCR but with a new declaration ID, this DUCR's status will change from Cleared (SOE 3) to Rejected (SOE 5); again, any EDL or QUE against this DUCR will fail because the DUCR is logged as rejected. </t>
  </si>
  <si>
    <t>If a MUCR (CHIEF only, mixed or CDS only) is closed by EAC or CST, on occasion an EMR is issued but not sent by CDA due to an intermittent fault.</t>
  </si>
  <si>
    <t>When an EAL is performed on a MUCR with 150 DUCRs and 101 Movement References, ILE stops responding to all requests from all traders. ILE will support 100+ DUCRs or 100+ movements references. 100+ DUCRs each with 100+ movement references will not currently be supported.</t>
  </si>
  <si>
    <t xml:space="preserve">There is an issue that the dual running component CDA does not issue the latest or most recent status update as the confirmed status of a MUCR; instead, CDA is picking the first EMR per request received from the other system to aggregate, therefore not following messaging chronology.
This issue means that for a mixed MUCR (i.e. MUCR containing both CHIEF and CDS declarations), there is a risk that even if the MUCR is cleared it may not get P2P because: 
1. An earlier SOE status may be picked up by CDA for aggregation, rather than the final clearance status I.e.. Where a system issues a non-clearance SOE status update and then a final clearance EMR, the non-clearance EMR will be returned instead of the most recent clearance EMR; 
2. BAU CDA functionality provides overriding logic to ensure that the most ‘severe’ status of the two responses picked up is the one that is issued (so even if one system issued clearance, the non-clearance status from the other system would be returned by CDA). 
Please note: KEL 604 is related to KEL 524. KEL 604 occurs much less frequently as, for KEL 524 in most cases the final EMR from ILE will be the clearance EMR. </t>
  </si>
  <si>
    <t>When a CDS declaration (DUCR) is associated into a MUCR (MUCR), an EMR response may not be issued. This is because when the request for declaration association (EAC) is submitted to CDS, the dual running component CDA waits for an EAC response from CHIEF in addition to the response from ILE before sending an EMR status update for the MUCR; CHIEF does not provide a response for CDS declaration associations, however, so the dual running component CDA continues to wait and never issues an EMR for the MUCR. </t>
  </si>
  <si>
    <t>CDS Tariff Volume 3 requires that export declarations made for VAT zero-rated exports contain ‘VATZ’ in Data Element 6/17. 
However, if an export declaration quoting VATZ in DE 6/17 (at any item level) is associated into a MUCR and arrived at an inventory linked location, no status update (EMR) will be returned for this MUCR, meaning it becomes ‘stuck’ and cannot progress. 
CDS does not return MUCR-level EMR responses in such scenarios because ILE is unable to process string ‘VATZ’ in the commodity code element, and only accepts numerical values in DE 6/17. 
Note this issue does not apply where individual DUCRs are arrived; ERS responses will received even where VATZ has been quoted in the declaration.</t>
  </si>
  <si>
    <t xml:space="preserve"> Some EMR response messages are stuck in the backout queue. This issue is caused by a validation failure due to an 'Invalid commodity code' where the total number of digits exceeds the limit of 8 digits. The error affects specific declarations, preventing EMR responses from being sent to customers and goods being stuck.</t>
  </si>
  <si>
    <t>CDA may not generate an ERS response to an EAC request if the relevant DUCR was originally arrived via an EAL that also quoted a Part number and/or CHIEF generated Check Letter eg. 001A or A</t>
  </si>
  <si>
    <t>The CHIEF error response "E3198 Arrival at Trader's premises not allowed" will not be processed by ILE and hence will not be sent to the CSP.</t>
  </si>
  <si>
    <t xml:space="preserve">When a pre-lodged declaration within a consolidation is invalidated due to a cancellation or a rejection (SOE 5 received*) or fails re-validation at the point of arrival (SOE 11 received), the invalidated/rejected DUCR is currently not auto-disassociated from the MUCR. This behaviour differs from CHIEF whereby the rejected DUCR would automatically be disassociated. Following SOE 5 or SOE 11 status, DUCRs will remain associated and require manual disassociation to avoid further impacts to the consolidation it is part of.
When a pre-lodged declaration within a consolidation is invalidated due to a cancellation or a rejection (SOE 5 received*) or fails re-validation at the point of arrival (SOE 11 received), the invalidated/rejected DUCR is currently not auto-disassociated from the MUCR. This behaviour differs from CHIEF whereby the rejected DUCR would automatically be disassociated. Following SOE 5 or SOE 11 status, DUCRs will remain associated and require manual disassociation to avoid further impacts to the consolidation it is part of.
Impacts of SOE 5/SOE 11 DUCRs remaining associated to a MUCR through lack of auto-disassociation:
4)	On arrival, the MUCR containing a DUCR with SOE 5 or SOE 11 status will not gain clearance/P2P as a result of containing an invalidated/rejected declaration (instead, SOE C is returned). 
5)	When a MUCR contains a DUCR with SOE 5 or SOE 11 status, CDS prevents further associations to this MUCR from being completed. Therefore, the MUCR becomes effectively ‘locked’ as further UCRs cannot be associated into the MUCR while the invalidated/rejected DUCR remains associated. Please note: If the association of further UCRs is attempted via EAC, a NAK will be returned, however, if the association is attempted by including the MUCR through declaration submission, the association will simply fail and the declarant will not receive any indication of error. 
6)	Where multiple movements are performed for a given consignment (MUCR) containing a DUCR with SOE 5 or SOE 11 status, subsequent movements will not be processed and therefore not be presented on Query Service.
*Until KEL 530 is delivered, on occasion, SOE 11 may be returned instead of SOE 5 </t>
  </si>
  <si>
    <t>The functionality of this CR was deployed into CDS and TT earlier as part of the CDS 4.5.0 release in the month June 2024.</t>
  </si>
  <si>
    <t>443</t>
  </si>
  <si>
    <t>In TDR, when either submitting a movement/consolidation for a MUCR or a declaration that does not exist within CDS, no response will be returned to the submitting party. Movements and consolidations can only be submitted for declarations which are already available within CDS.
No impact in TT or Live/Production.</t>
  </si>
  <si>
    <t>Resolved on 19/09/24</t>
  </si>
  <si>
    <t>Please note that this defect will be resolved via SCP_CR132</t>
  </si>
  <si>
    <t>The Declaration Information Service (DIS) will not return a successful response for a H1 or C21i declaration (declaration types A,D,J,K,Y and Z) if one or more of the following Buyer details fields (DE 3/26) have not been entered on the declaration: Street and number; City; Country, or; Postcode, when DE 3/26 is completed.
Where this is encountered DIS will return a CDS60003 error.</t>
  </si>
  <si>
    <t>The DIS query system may occasionally send additional results outside the parameters of the original request submitted to DIS.</t>
  </si>
  <si>
    <t xml:space="preserve"> GVMS declarations that have cleared in CDS, but have not been finalised after 30 days, will not have the latest status against the GMR (Goods Movement Records). This is because CDS will not persist live data for MRN's where it has not received any notification messages for over 30 days.</t>
  </si>
  <si>
    <t>SCP_CR132</t>
  </si>
  <si>
    <t>Currently in CDS TDR no responses are being returned for movement/consolidation messages being submitted for a MUCR or declaration that does not exist in CDS, therefore in order to facilitate testing of this nature, a CAMS-ILE emulator would be required to be deployed into TDR.</t>
  </si>
  <si>
    <t>Missing EMRs or reversion to 'H' pre-fixed ROE status for arrival of pre-lodged DUCRs where at least 1 DUCR under the MUCR hits a blocking control. Responses that are missed due to this KEL will always be controlled, clearance EMRs are not subject to this KEL. This KEL will be intermittent.</t>
  </si>
  <si>
    <t>Resolved on 04/10/2024</t>
  </si>
  <si>
    <t>If a declaration is invalidated by the declarant, an updated ERS is not sent.</t>
  </si>
  <si>
    <t>When querying the status of a UCR at DUCR level, an error or no response is returned for declarations that have an item level package count of zero. Declarations that were submitted after 29 September 2024 are not impacted unless they have an item level package count of zero.</t>
  </si>
  <si>
    <t>Resolved on 16/10/2024</t>
  </si>
  <si>
    <t>643</t>
  </si>
  <si>
    <t>a) Associate a DUCR to a MUCR which was submitted before release 4.6.0 with a SOE of 5 (rejection) or 11 (rejection on arrival). In this situation, CDS does not send an EMR once the MUCR is arrived.
b) Arrive a DUCR which was submitted before release 4.6.0 with a SOE of 5 (rejection) or 11 (rejection on arrival). In this scenario, CDS does not send an ERS or an error.
c)If you attempted to re-associate the DUCR with SOE 5 or 11 into a MUCR, that DUCR will appear as SOE E when an ILE query is submitted and you will not be able to remove it.</t>
  </si>
  <si>
    <t>CSP/Trader is not able to pull declarations via Summary services for specific search parameters or when some search parameters are missing.</t>
  </si>
  <si>
    <t>Resolved on 17/12/2024</t>
  </si>
  <si>
    <t>DIS-Query API responses are missing the DeclarationType element whenever DMS is not sending procedureCategory element. In this circumstance the Declaration Type will be missing in the response. It is assumed the trader would know the type of declaration they submitted for the reference.</t>
  </si>
  <si>
    <t>641</t>
  </si>
  <si>
    <t>When a RoW-NI declaration is submitted for goods deemed 'At Risk' and includes a claim for subsidy, then this may not be granted in the following circumstance: * where the total EU Tariff duties are higher than the total UK Tariff duties and at least one of the A series EU Tariff duty calculations is less than the UK Tariff duty calculations for the corresponding UK Tax Type.</t>
  </si>
  <si>
    <t>Closed on 20/02/2025</t>
  </si>
  <si>
    <t xml:space="preserve">There is a configuration issue with the Logs for SAM in TT and TDR. For this test to be carried out successfully, a request needs to be made for SAM to be configured and deployed in Trade Test environment. </t>
  </si>
  <si>
    <t>If a To date is used on it's own in the query then the query will fail. This issue only affects the DIS Declaration Summary Query, and only when using date range searches where the dateFrom search parameter has not been provided.
This issue does not arise if:
- Neither of the dateFrom and dateTo values have been provided (the date range defaults to the last 30 days).
- Only the dateFrom parameter has been provided (the dateTo parameter is set to today's date).
- Both the dateFrom and dateTo values have been provided (as long as both dateFrom and dateTo are later than today - 180 days and dateTo is later than dateFrom) .</t>
  </si>
  <si>
    <t>DMS is not generating IVL declaration status notification of ICS 3 as the declaration clears.</t>
  </si>
  <si>
    <t>Closed on 03/05/2024</t>
  </si>
  <si>
    <t>Found to have been resolved in R4.3.0</t>
  </si>
  <si>
    <t>489</t>
  </si>
  <si>
    <t>When the DE 1/11 (APC) code needs to be amended in a declaration, DMS will amend the wrong field, which could lead to declarations being incorrectly validated.</t>
  </si>
  <si>
    <t>Closed on 03/04/2025</t>
  </si>
  <si>
    <t>Not required - CDS 03 Declaration Submission Service Design (DSSD) has been updated in section 5.1.8 with guidance to avoid the issue. The CDS External TT TDR Scope Guidance document present in the CDS Technical Documentation folder from the Developer Hub has also been updated to reflect these changes.</t>
  </si>
  <si>
    <t>461</t>
  </si>
  <si>
    <t>HMRC has provided CSPs with a temporary workaround to accommodate those CSPs that may initially be unable to populate Submitter-Identifier for declarations. Whilst the workaround remains in place, if the CSP leaves Submitter-Identifier blank in the declaration, HMRC will apply internal logic to determine if a Badge ID can be used instead.
This means that (for CSPs taking advantage of the temporary workaround) their customers’ declarations submitted during that period will be associated with a Badge ID rather than an EORI.
Traders submitting declarations through a CSP which still use Badge to authenticate and identify their customers may therefore be unable to see those declarations when accessing the CDS Digital Secure File Upload Service (SFUS), Secure mailbox (Raise a Query / 2-way messaging) or DIS Query API services using their EORI. This is because the Submitter-Identifier for the request (the EORI) does not match the Submitter-Identifier for the original declaration (the Badge).
We will shortly be making an interim change to make these declarations visible to SFUS, but it will not enable access to the secure mailbox queries.
This issue need not affect all traders/declarants whose declarations are submitted through a CSP. If the Submitter-Identifier is populated by the traders EORI at declaration submission, this issue does not occur.</t>
  </si>
  <si>
    <t>Closed on 20/03/25</t>
  </si>
  <si>
    <t>The issue  reported in this KEL is due to use of the badge workaround by CSPs. Further use of the badge workaround after CDS migration, with the associated gaps in functionality this provides, is at the discretion of the CSPs and no changes will be made to CDS on this matter.</t>
  </si>
  <si>
    <t>485</t>
  </si>
  <si>
    <t>When an import declaration is sent with a tax type that's covered by state aid, along with NIIMP and NIAID being declared at item level in element 2/2, CDS will apply state aid twice. This will be reported in the DMSTAX message issued by CDS.</t>
  </si>
  <si>
    <t>Closed on 31/03/25</t>
  </si>
  <si>
    <t>Codes Y067 and Y229 are currently missing from the CDS codelists and cannot be declared at present. Please see the following workarounds for each code:
- When applying code Y067, Use the original / correct commodity code e.g. 87011000000, but enter status code XX with document code N851 instead of Y067. Additional information can be found in the tariff (tractors/farming machinery)
- When applying code Y229 Use commodity code 3004600000 as a workaround until the issue with the validation of commodity code 3004900000 is resolved. Commodity code 30046 has only two P&amp;R measures, which are also found on the 30049 commodity code, so the Additional Documents to satisfy those P&amp;R measures should be completed as they would have been if the affected comm code was used</t>
  </si>
  <si>
    <t>Please see the following workarounds for each code:
- When applying code Y067, Use the original / correct commodity code e.g. 87011000000, but enter status code XX with document code N851 instead of Y067. Additional information can be found in the tariff (tractors/farming machinery)
- When applying code Y229 Use commodity code 3004600000 as a workaround until the issue with the validation of commodity code 3004900000 is resolved. Commodity code 30046 has only two P&amp;R measures, which are also found on the 30049 commodity code, so the Additional Documents to satisfy those P&amp;R measures should be completed as they would have been if the affected comm code was used</t>
  </si>
  <si>
    <t>Known Difference 'KD46' was tracking Y067, but this was closed as the doc code itself became redundant with Code 901Y replacing it's use</t>
  </si>
  <si>
    <t xml:space="preserve">Tariff guidance states that Consignee Name &amp; Address can be declared at either header or item level. However, system functionality  only allows Consignee Name &amp; Address to be declared at header level </t>
  </si>
  <si>
    <t>Enter details at header level where this scenario applies.</t>
  </si>
  <si>
    <t xml:space="preserve"> New payload has been run through Trade Test: 25GB3L48AX94F3YAA7 which used everything in TT sample EX040a, with a consignee declared at item level for the two goods items (so two different consignees on the dec) - This dec was registered in TT so this KEL is no longer valid</t>
  </si>
  <si>
    <t>Export</t>
  </si>
  <si>
    <t>Under certain circumstances, a GVMS GMR may not receive the current/latest status of the CDS declaration, inhibiting successful processing.</t>
  </si>
  <si>
    <t>Resolved 05/06/2025</t>
  </si>
  <si>
    <r>
      <rPr>
        <b/>
        <sz val="12"/>
        <rFont val="Calibri"/>
        <family val="2"/>
        <scheme val="minor"/>
      </rPr>
      <t>Workaround:</t>
    </r>
    <r>
      <rPr>
        <sz val="12"/>
        <rFont val="Calibri"/>
        <family val="2"/>
        <scheme val="minor"/>
      </rPr>
      <t xml:space="preserve"> </t>
    </r>
    <r>
      <rPr>
        <sz val="11"/>
        <rFont val="Calibri"/>
        <family val="2"/>
        <scheme val="minor"/>
      </rPr>
      <t>Where users have identified that the GVMS GMR does not show the same status/progress for the declaration as it has received in CDS, contact the National Clearance Hub as soon as possible.</t>
    </r>
  </si>
  <si>
    <t>555</t>
  </si>
  <si>
    <t>The Declaration Information Service (DIS) should return valid requests for all declaration types within the accessible data - Including IM, EX and CO declaration types.
DIS will not, however, return any results/responses against CO declaration types.</t>
  </si>
  <si>
    <t>646</t>
  </si>
  <si>
    <t>When a goods item is added by amendment to an existing declaration, in certain circumstances the amendment will fail and the declaration not progress to clearance.</t>
  </si>
  <si>
    <r>
      <rPr>
        <b/>
        <sz val="12"/>
        <rFont val="Calibri"/>
        <family val="2"/>
        <scheme val="minor"/>
      </rPr>
      <t>Workaround:</t>
    </r>
    <r>
      <rPr>
        <sz val="11"/>
        <rFont val="Calibri"/>
        <family val="2"/>
        <scheme val="minor"/>
      </rPr>
      <t xml:space="preserve"> Invalidate the declaration and raise a new one with the relevant goods items present.</t>
    </r>
  </si>
  <si>
    <r>
      <rPr>
        <b/>
        <sz val="12"/>
        <rFont val="Calibri"/>
        <family val="2"/>
        <scheme val="minor"/>
      </rPr>
      <t xml:space="preserve">Workaround: </t>
    </r>
    <r>
      <rPr>
        <sz val="11"/>
        <rFont val="Calibri"/>
        <family val="2"/>
        <scheme val="minor"/>
      </rPr>
      <t>Using a sequence numeric of 2 for the current code tag will allow the amendment to amend the 1/11 code.</t>
    </r>
  </si>
  <si>
    <t>369.6</t>
  </si>
  <si>
    <t xml:space="preserve">According to Tariff guidance, country of destination can be declared at either header or item level. Currently, country of destination can only be declared at header level on a C21e or C21e EIDR NOP. </t>
  </si>
  <si>
    <t>Closed 04/06/2025</t>
  </si>
  <si>
    <r>
      <rPr>
        <b/>
        <sz val="11"/>
        <rFont val="Calibri"/>
        <family val="2"/>
        <scheme val="minor"/>
      </rPr>
      <t>Workaround:</t>
    </r>
    <r>
      <rPr>
        <sz val="11"/>
        <rFont val="Calibri"/>
        <family val="2"/>
        <scheme val="minor"/>
      </rPr>
      <t>Enter details at header level where this scenario applies.</t>
    </r>
  </si>
  <si>
    <t>305.2</t>
  </si>
  <si>
    <t xml:space="preserve">Currently no licences can be declared on B &amp; E declarations as a DiT or RPA licence is not allowed in  GoodsItem.additionalDocuments.type.code </t>
  </si>
  <si>
    <r>
      <rPr>
        <b/>
        <sz val="12"/>
        <rFont val="Calibri"/>
        <family val="2"/>
        <scheme val="minor"/>
      </rPr>
      <t>Workaround</t>
    </r>
    <r>
      <rPr>
        <sz val="11"/>
        <rFont val="Calibri"/>
        <family val="2"/>
        <scheme val="minor"/>
      </rPr>
      <t xml:space="preserve">: Use normal full frontier additional declaration types A or D to declare these goods. </t>
    </r>
  </si>
  <si>
    <t>305.3</t>
  </si>
  <si>
    <t xml:space="preserve">Tariff guidance says that DE 2/6 is only required on I1 C&amp;F if claiming quota.  But Quota cannot currently be claimed on an I1 declaration, so quota data elements (DE 2/6, DE 4/1, DE 4/3, DE 4/9, DE 8/1) are not required. Similarly, one cannot claim quota on a type B or E. </t>
  </si>
  <si>
    <r>
      <rPr>
        <b/>
        <sz val="12"/>
        <rFont val="Calibri"/>
        <family val="2"/>
        <scheme val="minor"/>
      </rPr>
      <t>Workaround</t>
    </r>
    <r>
      <rPr>
        <sz val="11"/>
        <rFont val="Calibri"/>
        <family val="2"/>
        <scheme val="minor"/>
      </rPr>
      <t xml:space="preserve">: Use normal full frontier additional declaration types A or D to claim quota. Claims can be made on Supplementary Declarations, but first-come first-serve quotas may be exhausted at that stage. </t>
    </r>
  </si>
  <si>
    <t>Enable MUCR to be re-used 365 days post departure
There is risk that airlines will need to start reusing Master Unique Consignment References (MUCRs) known to CDS from January 2025, because airlines work with a finite stack of MUCRs that need to be recycled every 12-24 months; if this risk materialises, export operations will come to a standstill for impacted airlines and its customers, because CDS does not currently enable the reuse of MUCRs.
Allows a singular reuse per MUCR and then relies on implementation of data purging (CDSNFR-59) for next required reuse</t>
  </si>
  <si>
    <t>Resolved 14/06/2025</t>
  </si>
  <si>
    <t xml:space="preserve">If a trader encounters a rejected declaration or error code 35 or 29 following an EAC, they are advised to query ILE to establish if the MUCR has already been used. If this is the case, the trader is advised to seek the agreement of the Airline or Ground Handling Agent to use a different air waybill.  </t>
  </si>
  <si>
    <t xml:space="preserve">Consignments sent to GVMS locations which are diverted from DEP / Other Controlled Locations
Functionality for CDS to be able to send declaration details to GVMS for non-GVMS declarations when queried by GVMS. </t>
  </si>
  <si>
    <t>Redirection from an ILE facility to an arrived or pre-lodged GVMS location isn’t possible on CDS- Traders are advised to cancel and resubmit a new declaration with the correct GVMS location code and declaration format. 
Additionally, redirection between two GVMS locations with differing location codes isn’t possible on CDS. The same workaround above applies in this scenario.</t>
  </si>
  <si>
    <t>CR247</t>
  </si>
  <si>
    <t xml:space="preserve">Simplifying the GVMS Exports Journey – Customs Supervised Exports (CSEs) or Non-GVMS Freight Locations for GVMS Exports 
A change to ensure the arrival location code matches the departure location code in GVMS for GVMS exports being moved to an ITSF, CSE or Non-GVMS Freight locations, following the ITSF, CSE or Non-GVMS Freight location arrival process.  </t>
  </si>
  <si>
    <t>CR350</t>
  </si>
  <si>
    <t xml:space="preserve">CDS to Accept Consolidated DUCRs for Departure
Allow CDS to process the departure whereby if it receives a departure message for a DUCR that is consolidated in a MUCR and dissociate the DUCR from the MUCR so that the DUCR can be departed from a GVMS location. </t>
  </si>
  <si>
    <t>The Dover DEP community using Descartes Pentant CSP are able to create MUCRs for GVMS DUCRs without experiencing issues with the rejected EDLs at DUCR level.</t>
  </si>
  <si>
    <t>SCP096</t>
  </si>
  <si>
    <t>Trade Report &amp; Extracts 
This item captures the strategic end-state solution that will allow traders and third parties to retrieve their own customs declaration data through a free trade reporting service</t>
  </si>
  <si>
    <t>HMRC's UK Trade Info Data Support Team provide traders with a set of reports containing record-level CHIEF MSS data. Currently the data is extracted using Business Objects which queries the CHIEF MSS database.</t>
  </si>
  <si>
    <t>Traders should be able to view Secure Messages for both GB and XI Deferment DDIs via their master EORI when logged into the Digital service.
However, an issue is preventing traders from viewing Secure Messages for XI Deferment DDIs when logged into their account through their GB EORI, causing incomplete access to critical financial updates.</t>
  </si>
  <si>
    <t>Closed  26/06/2025</t>
  </si>
  <si>
    <r>
      <rPr>
        <b/>
        <sz val="11"/>
        <color theme="1"/>
        <rFont val="Calibri"/>
        <family val="2"/>
        <scheme val="minor"/>
      </rPr>
      <t>Workaround</t>
    </r>
    <r>
      <rPr>
        <sz val="11"/>
        <color theme="1"/>
        <rFont val="Calibri"/>
        <family val="2"/>
        <scheme val="minor"/>
      </rPr>
      <t>: If a declarant is experiencing difficulties with use of their DDI they should contact CSG for queries related to their account and for any missed notifications: https://www.gov.uk/government/organisations/hm-revenue-customs/contact/duty-deferment-scheme-general-enquiries</t>
    </r>
  </si>
  <si>
    <t>If a declaration with a claim to quota is pre-lodged and an amendment is made to that declaration prior to arrival, a quota request will not automatically be made when the declaration is arrived. The declaration will enter an accepted state but does not progress further. This results in the need to manually generate a quota request, causing a delay to declaration processing.</t>
  </si>
  <si>
    <t>Resolved with release 4.5.0</t>
  </si>
  <si>
    <t>SCP124</t>
  </si>
  <si>
    <t>End State Tariff/TMM Error Handling
For some tariff validation errors, a generic response is sent back instead of an effective error message, causing confusion &amp; frustration to Traders and causing additional contact to HMRC</t>
  </si>
  <si>
    <t>SCP418</t>
  </si>
  <si>
    <t>Handling of excise on goods that can be either excisable or not excisable depending on their usage
Some goods are marked on the tariff as attributing excise duty, but only attribute excise in certain scenarios but CDS currently always charges excise (unless override is used) so we need a way for traders to declare that the goods are not excisable</t>
  </si>
  <si>
    <t>Traders use a manual override code and manually calculate the VAT &amp; customs duty due and put £0.00 for excise.</t>
  </si>
  <si>
    <t>SCP419</t>
  </si>
  <si>
    <t>ILMS Character Issues
HMRC needs to ignore case sensitivity when we receive licence information from OGDs so that we do not incorrectly reject declarations and delay the movement of goods.</t>
  </si>
  <si>
    <t>Declarations are rejected and traders have to re-submit.</t>
  </si>
  <si>
    <t>SCP479</t>
  </si>
  <si>
    <t>DIS API to include CO type declarations 
Declaration Information Service (DIS) needs to include all types of declarations whether that be imports (IM), exports (EX) or community goods (CO)</t>
  </si>
  <si>
    <t>347</t>
  </si>
  <si>
    <t>There are several instances where following the latest Exports Tariff data element completion guidance is not currently possible on the CDS system.  These are highlighted on the 'July 2020 Update (4)' tab of the 'CDS Guidance on Exports Completion Rule Changes' document in the Developer Hub.</t>
  </si>
  <si>
    <t>Closed 27/06/2025</t>
  </si>
  <si>
    <t>Work around :This is specific to a Developer Hub issue, but any Tariff Volume 3 to CDS gaps/differences would be covered by other KEL entries/Known Differences.
Outstanding CDS to Tariff differences are to be tracked on the CWD</t>
  </si>
  <si>
    <t>SCP119</t>
  </si>
  <si>
    <t>GB EORI Registration for Edge Cases (Isle of Man, Public Bodies, Embassies) 
The aim of this scope item is to introduce an embassy identifier as currently embassies are having to apply for a normal EORI and HMRC have no way of identifying an embassy case.</t>
  </si>
  <si>
    <t>Resolved with release 4.8.0</t>
  </si>
  <si>
    <t>The CSP Query response message sent by ILE fails schema validation within EIS and is sent to a backout queue. Impact to trader is they don't receive a response. Also as CDS Movements UI uses the same API request which goes via EIS and hence trader/s also not able to view the information on queried DUCR/MUCR</t>
  </si>
  <si>
    <t>Resolved with release 4.8.0.2</t>
  </si>
  <si>
    <t>Changing the 'totalPackages' from '0' to '1' for declarations impacted.</t>
  </si>
  <si>
    <t>CR12</t>
  </si>
  <si>
    <t>Currently, HMRC cannot guarantee the message sequence for when a CSP receives notifications. In certain scenarios where goods have been seized / detained / destroyed and the declaration is invalidated by HMRC, while the CDS system will generate the CSP message with ICS 15 ahead of the one with ICS 4, it is possible that these may be received by the CSP in the incorrect order which introduces a risk that goods could be released from the inventory in error. A Change Request is being progressed to rectify the sequence of invalidation messages.</t>
  </si>
  <si>
    <t>HMRC has accepted the risk and acknowledged this in Section 6 of the Inventory Linking Service Design document.</t>
  </si>
  <si>
    <t>CR071</t>
  </si>
  <si>
    <t>There is currently a mismatch between certain measurement units (i.e. LTR, HLT, DTN, KGM) which results in an error requiring the Trade to correct a 'forbidden combination of measurement units', even when the combination should be allowed. A change has been requested to review and update the validation errors returned to ensure that the information received matches the Trade's expectation. This forms part of a wider review of Tariff error messages</t>
  </si>
  <si>
    <t>CR074</t>
  </si>
  <si>
    <t>Currently, CDS is unable to process spaces in the Inventory Consignment Reference. The declaration is accepted but non further notifications are received. This prevents split consignments (e.g. allowing the same inventory record to have more than one import declaration made against it, while still being controlled as a single entity). A change has thus been requested to preserve the spaces in the Inventory Consignment Reference</t>
  </si>
  <si>
    <t>SCP_CR073</t>
  </si>
  <si>
    <t>Where a MUCR/DUCR hierarchy has been built on CHIEF, and one of the DUCRs is then seized, EMRs are sent successfully as the MUCR can be matched to the EAL within CDS. However, as the DUCR has already been dissociated from the MUCR, the ERS can not be sent as CDS has no record of the DUCR, and there is no MUCR to match it against.
Therefore this CR has been raised to allow the Movement Reference to be used to match the ERS and DUCR back to the original MUCR. This will allow the ERS to be sent to the raiser of the EAL message in CDS.</t>
  </si>
  <si>
    <t xml:space="preserve">Currently the ILE API in Production allows non-accredited SWDs to submit EAA, EAL, and EDL messages as well as EAC, CST and Query ILE. Although these messages are limited to authorised parties only, there is a risk that non-accredited software may be used at an inventory linked location. To mitigate this risk, a change is required to prevent SWDs from submitting movement messages whilst allowing submission of EAC, CST, and Query ILE messages. </t>
  </si>
  <si>
    <t>Closed</t>
  </si>
  <si>
    <t>Allow non-accredited SWDs to register for API on strict instructions they do not develop any functionality for movement messages (EAA, EAL EDL) within software. 
NB: Although the solution is being impacted currently, there may be a requirement to split the ILE API into two endpoints.</t>
  </si>
  <si>
    <t>SCP082</t>
  </si>
  <si>
    <t>"Handle externally" status gap
“Handle externally” is a status that split quota is sent to if it exceeds 99 items and currently the declaration currently gets stuck. The trader is informed that goods haven't been cleared and they must contact HMRC to manually release the goods</t>
  </si>
  <si>
    <t>Closed 18/06/2025</t>
  </si>
  <si>
    <t>Manual release in place</t>
  </si>
  <si>
    <t>419</t>
  </si>
  <si>
    <t>CDS will still apply subsidy for a sub set of scenarios where the Trader has used Suspension on Customs duties for a GB-NI import declaration. The scenarios covered are:
1. Suspension of Duty, Excise &amp; VAT (SDEV)
2. Suspension of Duty and Excise (SDE)
3. Suspension of Duty and VAT (SDV)
4. Suspension of Duty (SD)
5. Suspension of Duty, Excise, VAT &amp; all additional Tax Types (SDEVO)
6. Suspension of Duty, VAT &amp; all additional Tax Types (SDVO)
7. Suspension of Duty, VAT &amp; all other additional tax types (Temporary Admission - 24 months) (T24SDVO)
CDS will also incorrectly stop Subsidy from being applied where Suspension of VATTypes (B00) only is used.</t>
  </si>
  <si>
    <t>Production Deployed May 2022</t>
  </si>
  <si>
    <t>CR210</t>
  </si>
  <si>
    <t>When the number of DUCRs linked to a Master UCR (MUCR) are presented to HMRC the expected response will be in the form of an export movement report (EMR). In both CHIEF and CDS the capacity of the EMR response is limited to 100 DUCRs. In CHIEF, when an EMR response is received the submitter is able to understand how many EMRs are to be received. However in CDS it is not currently possible to identify the total number of EMRs to be received for a MUCR.
A change has been requested to align CDS processing with CHIEF in respect to multiple EMR responses.</t>
  </si>
  <si>
    <t>CDSTT-2827</t>
  </si>
  <si>
    <t>CR144</t>
  </si>
  <si>
    <t xml:space="preserve">Currently, all case emulator trigger words (e.g. 'ttphysical', 'ttdocnonblocking', 'ttdocblocking') are case sensitive. If a trigger word is not submitted with lower case formatting, it will not be accepted. 
A change has been requested to ensure that case emulators are not sensitive. This will allow users to apply upper case or lower case versions of common trigger phrases. </t>
  </si>
  <si>
    <t>CDSTT-2620
As a workaround, please submit all case emulator trigger phrases with lower case formatting</t>
  </si>
  <si>
    <t>The CDS Declaration Completion Instructions shows DE 6/18 (Total Packages) as not required certain datasets. However, goods moving through Inventory Linking Systems/inventory linked locations will still require DE 6/18 to be entered on the declaration to ensure inventory matching at these locations.
The impacted datasets include:
Imports: C21i, C21i EIDR NOP &amp; H7 and all SPIMM datasets (H8, I1 C&amp;F, C21i EIDR NOP, C21)
Exports: B4, C1 C&amp;F, C1 B&amp;E</t>
  </si>
  <si>
    <t>Issue tracked under 
KD367</t>
  </si>
  <si>
    <t>Where goods are moving through an inventory linked location, complete DE 6/18 (total packages) on the declaration as per the guidance for DE 6/18 below:
Imports: www.gov.uk/government/publications/cds-uk-trade-tariff-volume-3-import-declaration-completion-guide/group-6-goods-identification#data-element-6-18.
Exports: www.gov.uk/government/publications/uk-trade-tariff-cds-volume-3-export-declaration-completion-guide/group-6-goods-identification#de-618-total-packages-box-6-total-packages</t>
  </si>
  <si>
    <t>ERS and EMR messages should always contain a CRC in the response, however messages do not consistently include the CRC element in the payload.</t>
  </si>
  <si>
    <t>Closed 20/08/2025 : CHIEF related defect</t>
  </si>
  <si>
    <t>If explicit CRC is not provided, assume a default value of 000.</t>
  </si>
  <si>
    <t>If an Arrival message is sent for an unknown DUCR (before declaration submission), at the point of declaration submission, the declaration acceptance date will be back dated to the Arrival date and time (linked to GPN). 
This scenario would have an impact if the Tariff Measures rules have changed between the date and time of arrival and declaration submission, there is a risk that the pre-lodged declaration would be rejected on arrival since validation would be carried out against the previous Tariff. </t>
  </si>
  <si>
    <t>Issue tracked under SCP002</t>
  </si>
  <si>
    <t>If a DMS REJ is incorrectly received for a declaration and complies with the Tariff measures at the time of declaration submission, the trader should resubmit a new declaration with a new DUCR. The new DUCR will need to be arrived by the Loader/Inventory System. If the rejected declaration was part of a consolidation, the trader will need to disassociate the old DUCR and replace it with the new DUCR. </t>
  </si>
  <si>
    <t>When raising 800 EAC requests in bursts of 100/minute for MUCRs with 200 DUCRs, ILE in Trade Test stops responding.</t>
  </si>
  <si>
    <t>Closed 05/09/2025</t>
  </si>
  <si>
    <t>Please space requests out and use MUCRs with smaller number of DUCRs until this issue is resolved.</t>
  </si>
  <si>
    <t>SCP038</t>
  </si>
  <si>
    <t xml:space="preserve">Currency matching
Currently when a trader enters a non-GBP currency at header level that does not match the currency entered for all goods items, the declaration gets stuck rather than sending an appropriate response
</t>
  </si>
  <si>
    <t xml:space="preserve">CDS DSSD updated with system behaviour. </t>
  </si>
  <si>
    <t>Traders have been informed to enter a non-GBP currency that does match the currency entered for all good items.
 Confirmed there is no workaround once trader has submitted the declaration at the moment as declaration remain in DMS (front door) in “receive” state when they get stuck.</t>
  </si>
  <si>
    <t> If DE 6/18 (Total Package Quantity) is altered after submission, the amended value is not reflected in ILE.</t>
  </si>
  <si>
    <t>Resolved 17/09/2025</t>
  </si>
  <si>
    <t>The amended Total Package Quantity value can be seen in DIS status response by querying either MRN or DUCR.</t>
  </si>
  <si>
    <t>SCP_CR119</t>
  </si>
  <si>
    <t>For goods exiting via a GVMS location that are part of consolidation, this change will ensure the consolidated DUCRs are not rejected while attempting departure of the goods, with departure messages generated for each DUCR level item.</t>
  </si>
  <si>
    <t>Resolved 4.7.0</t>
  </si>
  <si>
    <t>CR212</t>
  </si>
  <si>
    <t xml:space="preserve">Where there are multiple package counts within a declaration, currently ILE will return only
the first package count from each item. This means that if a trader declares goods in various package types per item within a declaration, ILE only acknowledges and counts the first package per item, treating it as the total package count for the given declaration submission.
For example:
In a declaration submission, Item 1 has a first package count of 99 and second package
count of 45. Item 2 has a first package count of 2. As a result, the returned package count
from ILE would be 101 (99+2), disregarding the second package count of 45 under Item 1.
A change has been requested correct the alignment between ILE and DIS responses for total package count of a declaration submission. </t>
  </si>
  <si>
    <t>Subject to prioritisation
(CR can now to be tracked under KEL645)</t>
  </si>
  <si>
    <t xml:space="preserve"> CDS will currently mandate completion of DE 7/5 on an export declaration when CSE is used on both NI and GB declarations - CDS will be amended to require this only for NI declarations in future. This only impacts Customs Supervised Exports and traders will need to provide DE 7/5 until aforementioned fix is implemented.</t>
  </si>
  <si>
    <t>This defect was fixed in Production as part of CDS4.9.0.1 on 23/10/2025. It was fixed in Trade Test and Trader Dress Rehearsal on 29/10/2025</t>
  </si>
  <si>
    <t>Total KELs</t>
  </si>
  <si>
    <t>New KEL</t>
  </si>
  <si>
    <t>New CR</t>
  </si>
  <si>
    <t>Resolved KEL</t>
  </si>
  <si>
    <t>Closed KEL</t>
  </si>
  <si>
    <t>Resolved CR</t>
  </si>
  <si>
    <t>Closed CR</t>
  </si>
  <si>
    <t>Reopened KEL</t>
  </si>
  <si>
    <t>Revised KEL</t>
  </si>
  <si>
    <t>Revised Fix Version</t>
  </si>
  <si>
    <t>CR Pie Chart</t>
  </si>
  <si>
    <t>Row Labels</t>
  </si>
  <si>
    <t>Count of Classification</t>
  </si>
  <si>
    <t>Count</t>
  </si>
  <si>
    <t>KEL 112</t>
  </si>
  <si>
    <t>KEL 113</t>
  </si>
  <si>
    <t>KEL 114</t>
  </si>
  <si>
    <t>KEL 115</t>
  </si>
  <si>
    <t>KEL 116</t>
  </si>
  <si>
    <t>KEL 79</t>
  </si>
  <si>
    <t>KEL 117</t>
  </si>
  <si>
    <t>KEL 118</t>
  </si>
  <si>
    <t>KEL 119</t>
  </si>
  <si>
    <t>KEL 120</t>
  </si>
  <si>
    <t>KEL 121</t>
  </si>
  <si>
    <t>KEL 64</t>
  </si>
  <si>
    <t>KEL 65</t>
  </si>
  <si>
    <t>KEL 66</t>
  </si>
  <si>
    <t>KEL 78</t>
  </si>
  <si>
    <t>KEL 85</t>
  </si>
  <si>
    <t>KEL 89</t>
  </si>
  <si>
    <t>KEL 107</t>
  </si>
  <si>
    <t>KEL 108</t>
  </si>
  <si>
    <t>KEL 122</t>
  </si>
  <si>
    <t>KEL 123</t>
  </si>
  <si>
    <t>KEL 124</t>
  </si>
  <si>
    <t>KEL 125</t>
  </si>
  <si>
    <t>KEL 126</t>
  </si>
  <si>
    <t>KEL 127</t>
  </si>
  <si>
    <t>KEL 129</t>
  </si>
  <si>
    <t>KEL 18</t>
  </si>
  <si>
    <t>KEL 21</t>
  </si>
  <si>
    <t>KEL 22</t>
  </si>
  <si>
    <t>KEL 28</t>
  </si>
  <si>
    <t>KEL 86</t>
  </si>
  <si>
    <t>KEL 92</t>
  </si>
  <si>
    <t>KEL 93</t>
  </si>
  <si>
    <t>KEL 97</t>
  </si>
  <si>
    <t>KEL 98</t>
  </si>
  <si>
    <t>KEL 100</t>
  </si>
  <si>
    <t>KEL 105</t>
  </si>
  <si>
    <t>KEL 109</t>
  </si>
  <si>
    <t>KEL 110</t>
  </si>
  <si>
    <t>KEL 130</t>
  </si>
  <si>
    <t>KEL 131</t>
  </si>
  <si>
    <t>KEL 132</t>
  </si>
  <si>
    <t>KEL 103</t>
  </si>
  <si>
    <t>KEL 133</t>
  </si>
  <si>
    <t>KEL 134</t>
  </si>
  <si>
    <t>KEL 135</t>
  </si>
  <si>
    <t>KEL 136</t>
  </si>
  <si>
    <t>KEL 137</t>
  </si>
  <si>
    <t>KEL 8</t>
  </si>
  <si>
    <t>KEL 138</t>
  </si>
  <si>
    <t>KEL 128</t>
  </si>
  <si>
    <t>KEL 139</t>
  </si>
  <si>
    <t>KEL 140</t>
  </si>
  <si>
    <t>KEL 141</t>
  </si>
  <si>
    <t>KEL 142</t>
  </si>
  <si>
    <t>KEL 143</t>
  </si>
  <si>
    <t>KEL 144</t>
  </si>
  <si>
    <t>KEL 145</t>
  </si>
  <si>
    <t>KEL 146</t>
  </si>
  <si>
    <t>KEL 147</t>
  </si>
  <si>
    <t>KEL 148</t>
  </si>
  <si>
    <t>KEL 149</t>
  </si>
  <si>
    <t>KEL 150</t>
  </si>
  <si>
    <t>KEL 151</t>
  </si>
  <si>
    <t>KEL 152</t>
  </si>
  <si>
    <t>KEL 153</t>
  </si>
  <si>
    <t>KEL 154</t>
  </si>
  <si>
    <t>KEL 155</t>
  </si>
  <si>
    <t>KEL 156</t>
  </si>
  <si>
    <t>KEL 157</t>
  </si>
  <si>
    <t>KEL 158</t>
  </si>
  <si>
    <t>KEL 159</t>
  </si>
  <si>
    <t>KEL 160</t>
  </si>
  <si>
    <t>KEL 161</t>
  </si>
  <si>
    <t>KEL 162</t>
  </si>
  <si>
    <t>KEL 102</t>
  </si>
  <si>
    <t>KEL 163</t>
  </si>
  <si>
    <t>KEL 164</t>
  </si>
  <si>
    <t>KEL 165</t>
  </si>
  <si>
    <t>KEL 166</t>
  </si>
  <si>
    <t>KEL 167</t>
  </si>
  <si>
    <t>KEL 168</t>
  </si>
  <si>
    <t>KEL 169</t>
  </si>
  <si>
    <t>KEL 170</t>
  </si>
  <si>
    <t>KEL 171</t>
  </si>
  <si>
    <t>KEL 172</t>
  </si>
  <si>
    <t>KEL 173</t>
  </si>
  <si>
    <t>KEL 174</t>
  </si>
  <si>
    <t>KEL 19</t>
  </si>
  <si>
    <t>KEL 23</t>
  </si>
  <si>
    <t>KEL 26</t>
  </si>
  <si>
    <t>KEL 175</t>
  </si>
  <si>
    <t>KEL 176</t>
  </si>
  <si>
    <t>KEL 177</t>
  </si>
  <si>
    <t>KEL 178</t>
  </si>
  <si>
    <t>KEL 179</t>
  </si>
  <si>
    <t>KEL 180</t>
  </si>
  <si>
    <t>KEL 31</t>
  </si>
  <si>
    <t>KEL 32</t>
  </si>
  <si>
    <t>KEL 38</t>
  </si>
  <si>
    <t>KEL 46</t>
  </si>
  <si>
    <t>KEL 48</t>
  </si>
  <si>
    <t>KEL 181</t>
  </si>
  <si>
    <t>KEL 182</t>
  </si>
  <si>
    <t>KEL 183</t>
  </si>
  <si>
    <t>KEL 184</t>
  </si>
  <si>
    <t>KEL 185</t>
  </si>
  <si>
    <t>KEL 186</t>
  </si>
  <si>
    <t>KEL 187</t>
  </si>
  <si>
    <t>KEL 188</t>
  </si>
  <si>
    <t>KEL 189</t>
  </si>
  <si>
    <t>KEL 190</t>
  </si>
  <si>
    <t>KEL 45</t>
  </si>
  <si>
    <t>KEL 191</t>
  </si>
  <si>
    <t>KEL 192</t>
  </si>
  <si>
    <t>KEL 193</t>
  </si>
  <si>
    <t>KEL 194</t>
  </si>
  <si>
    <t>KEL 195</t>
  </si>
  <si>
    <t>KEL 196</t>
  </si>
  <si>
    <t>KEL 197</t>
  </si>
  <si>
    <t>KEL 198</t>
  </si>
  <si>
    <t>KEL 199</t>
  </si>
  <si>
    <t>KEL 63</t>
  </si>
  <si>
    <t>KEL 69</t>
  </si>
  <si>
    <t>KEL 200</t>
  </si>
  <si>
    <t>KEL 201</t>
  </si>
  <si>
    <t>KEL 202</t>
  </si>
  <si>
    <t>KEL 203</t>
  </si>
  <si>
    <t>KEL 204</t>
  </si>
  <si>
    <t>KEL 205</t>
  </si>
  <si>
    <t>KEL 206</t>
  </si>
  <si>
    <t>KEL 207</t>
  </si>
  <si>
    <t>KEL 208</t>
  </si>
  <si>
    <t>KEL 209</t>
  </si>
  <si>
    <t>KEL 210</t>
  </si>
  <si>
    <t>KEL 211</t>
  </si>
  <si>
    <t>KEL 212</t>
  </si>
  <si>
    <t>KEL 213</t>
  </si>
  <si>
    <t>KEL 214</t>
  </si>
  <si>
    <t>KEL 215</t>
  </si>
  <si>
    <t>KEL 216</t>
  </si>
  <si>
    <t>KEL 217</t>
  </si>
  <si>
    <t>KEL 218</t>
  </si>
  <si>
    <t>KEL 219</t>
  </si>
  <si>
    <t>KEL 220</t>
  </si>
  <si>
    <t>KEL 221</t>
  </si>
  <si>
    <t>KEL 222</t>
  </si>
  <si>
    <t>KEL 52</t>
  </si>
  <si>
    <t>KEL 58</t>
  </si>
  <si>
    <t>KEL 68</t>
  </si>
  <si>
    <t>KEL 70</t>
  </si>
  <si>
    <t>KEL 72</t>
  </si>
  <si>
    <t>KEL 73</t>
  </si>
  <si>
    <t>KEL 74</t>
  </si>
  <si>
    <t>KEL 75</t>
  </si>
  <si>
    <t>KEL 87</t>
  </si>
  <si>
    <t>KEL 88</t>
  </si>
  <si>
    <t>KEL 90</t>
  </si>
  <si>
    <t>KEL 91</t>
  </si>
  <si>
    <t>KEL 106</t>
  </si>
  <si>
    <t>KEL 111</t>
  </si>
  <si>
    <t>KEL 223</t>
  </si>
  <si>
    <t>KEL 224</t>
  </si>
  <si>
    <t>KEL 225</t>
  </si>
  <si>
    <t>KEL 226</t>
  </si>
  <si>
    <t>KEL 227</t>
  </si>
  <si>
    <t>KEL 228</t>
  </si>
  <si>
    <t>KEL 229</t>
  </si>
  <si>
    <t>KEL 77</t>
  </si>
  <si>
    <t>KEL 94</t>
  </si>
  <si>
    <t>KEL 95</t>
  </si>
  <si>
    <t>KEL 96</t>
  </si>
  <si>
    <t>KEL 230</t>
  </si>
  <si>
    <t>KEL 231</t>
  </si>
  <si>
    <t>KEL 232</t>
  </si>
  <si>
    <t>KEL 233</t>
  </si>
  <si>
    <t>KEL 234</t>
  </si>
  <si>
    <t>KEL 235</t>
  </si>
  <si>
    <t>KEL 236</t>
  </si>
  <si>
    <t>KEL 237</t>
  </si>
  <si>
    <t>KEL 238</t>
  </si>
  <si>
    <t>KEL 239</t>
  </si>
  <si>
    <t>KEL 240</t>
  </si>
  <si>
    <t>KEL 241</t>
  </si>
  <si>
    <t>KEL 56</t>
  </si>
  <si>
    <t>KEL 104</t>
  </si>
  <si>
    <t>KEL 242</t>
  </si>
  <si>
    <t>KEL 243</t>
  </si>
  <si>
    <t>KEL 244</t>
  </si>
  <si>
    <t>KEL 245</t>
  </si>
  <si>
    <t>KEL 246</t>
  </si>
  <si>
    <t>KEL 247</t>
  </si>
  <si>
    <t>KEL 248</t>
  </si>
  <si>
    <t>KEL 249</t>
  </si>
  <si>
    <t>KEL 27</t>
  </si>
  <si>
    <t>KEL 57</t>
  </si>
  <si>
    <t>KEL 101</t>
  </si>
  <si>
    <t>KEL 84</t>
  </si>
  <si>
    <t>KEL 250</t>
  </si>
  <si>
    <t>KEL 251</t>
  </si>
  <si>
    <t>KEL 252</t>
  </si>
  <si>
    <t>KEL 253</t>
  </si>
  <si>
    <t>KEL 254</t>
  </si>
  <si>
    <t>KEL 255</t>
  </si>
  <si>
    <t>KEL 256</t>
  </si>
  <si>
    <t>KEL 257</t>
  </si>
  <si>
    <t>KEL 258</t>
  </si>
  <si>
    <t>KEL 259</t>
  </si>
  <si>
    <t>KEL 260</t>
  </si>
  <si>
    <t>KEL 261</t>
  </si>
  <si>
    <t>KEL 82</t>
  </si>
  <si>
    <t>KEL 262</t>
  </si>
  <si>
    <t>KEL 263</t>
  </si>
  <si>
    <t>KEL 264</t>
  </si>
  <si>
    <t>KEL 265</t>
  </si>
  <si>
    <t>2KEL 66</t>
  </si>
  <si>
    <t>KEL 267</t>
  </si>
  <si>
    <t>KEL 268</t>
  </si>
  <si>
    <t>KEL 269</t>
  </si>
  <si>
    <t>KEL 270</t>
  </si>
  <si>
    <t>KEL 271</t>
  </si>
  <si>
    <t>KEL 272</t>
  </si>
  <si>
    <t>KEL 273</t>
  </si>
  <si>
    <t>KEL 274</t>
  </si>
  <si>
    <t>KEL 275</t>
  </si>
  <si>
    <t>KEL 34</t>
  </si>
  <si>
    <t>KEL 276</t>
  </si>
  <si>
    <t>KEL 277</t>
  </si>
  <si>
    <t>KEL 278</t>
  </si>
  <si>
    <t>KEL 279</t>
  </si>
  <si>
    <t>KEL 280</t>
  </si>
  <si>
    <t>KEL 281</t>
  </si>
  <si>
    <t>KEL 282</t>
  </si>
  <si>
    <t>KEL 283</t>
  </si>
  <si>
    <t>KEL 284</t>
  </si>
  <si>
    <t>KEL 285</t>
  </si>
  <si>
    <t>KEL 286</t>
  </si>
  <si>
    <t>KEL 287</t>
  </si>
  <si>
    <t>KEL 288</t>
  </si>
  <si>
    <t>KEL 289</t>
  </si>
  <si>
    <t>KEL 290</t>
  </si>
  <si>
    <t>KEL 291</t>
  </si>
  <si>
    <t>KEL 292</t>
  </si>
  <si>
    <t>KEL 266</t>
  </si>
  <si>
    <t>KEL 293</t>
  </si>
  <si>
    <t>KEL 294</t>
  </si>
  <si>
    <t>KEL 295</t>
  </si>
  <si>
    <t>KEL 296</t>
  </si>
  <si>
    <t>KEL 297</t>
  </si>
  <si>
    <t>KEL 298</t>
  </si>
  <si>
    <t>KEL 299</t>
  </si>
  <si>
    <t>KEL 300</t>
  </si>
  <si>
    <t>KEL 301</t>
  </si>
  <si>
    <t>KEL 302</t>
  </si>
  <si>
    <t>KEL 303</t>
  </si>
  <si>
    <t>KEL 304</t>
  </si>
  <si>
    <t>KEL 305</t>
  </si>
  <si>
    <t>KEL 306</t>
  </si>
  <si>
    <t>KEL 307</t>
  </si>
  <si>
    <t>KEL 308</t>
  </si>
  <si>
    <t>KEL 309</t>
  </si>
  <si>
    <t>KEL 310</t>
  </si>
  <si>
    <t xml:space="preserve">
KEL 272</t>
  </si>
  <si>
    <t>KEL 311</t>
  </si>
  <si>
    <t>KEL 312</t>
  </si>
  <si>
    <t>KEL 313</t>
  </si>
  <si>
    <t>KEL 314</t>
  </si>
  <si>
    <t>KEL 315</t>
  </si>
  <si>
    <t>KEL 316</t>
  </si>
  <si>
    <t>KEL 317</t>
  </si>
  <si>
    <t>KEL 318</t>
  </si>
  <si>
    <t>KEL 319</t>
  </si>
  <si>
    <t>KEL 320</t>
  </si>
  <si>
    <t>KEL 321</t>
  </si>
  <si>
    <t>KEL 322</t>
  </si>
  <si>
    <t>KEL 323</t>
  </si>
  <si>
    <t>KEL 324</t>
  </si>
  <si>
    <t>KEL 325</t>
  </si>
  <si>
    <t>KEL 326</t>
  </si>
  <si>
    <t>KEL 327</t>
  </si>
  <si>
    <t>KEL 328</t>
  </si>
  <si>
    <t>KEL 329</t>
  </si>
  <si>
    <t>KEL 330</t>
  </si>
  <si>
    <t>KEL 331</t>
  </si>
  <si>
    <t>KEL 332</t>
  </si>
  <si>
    <t>KEL 333</t>
  </si>
  <si>
    <t>KEL 334</t>
  </si>
  <si>
    <t>KEL 335</t>
  </si>
  <si>
    <t>KEL 336</t>
  </si>
  <si>
    <t>KEL 337</t>
  </si>
  <si>
    <t>KEL 338</t>
  </si>
  <si>
    <t>KEL 339</t>
  </si>
  <si>
    <t>KEL 340</t>
  </si>
  <si>
    <t>KEL 341</t>
  </si>
  <si>
    <t>KEL 342</t>
  </si>
  <si>
    <t>KEL 343</t>
  </si>
  <si>
    <t>KEL 344</t>
  </si>
  <si>
    <t>KEL 345</t>
  </si>
  <si>
    <t>KEL 346</t>
  </si>
  <si>
    <t>KEL 347</t>
  </si>
  <si>
    <t>KEL 348</t>
  </si>
  <si>
    <t>KEL 349</t>
  </si>
  <si>
    <t>CR044</t>
  </si>
  <si>
    <t>KEL 350</t>
  </si>
  <si>
    <t>KEL 351</t>
  </si>
  <si>
    <t>KEL 352</t>
  </si>
  <si>
    <t>KEL 353</t>
  </si>
  <si>
    <t>KEL 354</t>
  </si>
  <si>
    <t>CR063</t>
  </si>
  <si>
    <t>CR065</t>
  </si>
  <si>
    <t>CR066</t>
  </si>
  <si>
    <t>KEL 355</t>
  </si>
  <si>
    <t>210111</t>
  </si>
  <si>
    <t>KEL 356</t>
  </si>
  <si>
    <t>KEL 357</t>
  </si>
  <si>
    <t>KEL 358</t>
  </si>
  <si>
    <t>210127</t>
  </si>
  <si>
    <t>KEL 359</t>
  </si>
  <si>
    <t>KEL 360</t>
  </si>
  <si>
    <t>KEL 361</t>
  </si>
  <si>
    <t>KEL 362</t>
  </si>
  <si>
    <t xml:space="preserve"> CR032</t>
  </si>
  <si>
    <t xml:space="preserve"> CR039</t>
  </si>
  <si>
    <t>210208</t>
  </si>
  <si>
    <t>KEL 363</t>
  </si>
  <si>
    <t>KEL 364</t>
  </si>
  <si>
    <t>KEL 365</t>
  </si>
  <si>
    <t>KEL 366</t>
  </si>
  <si>
    <t>KEL 367</t>
  </si>
  <si>
    <t>KEL 368</t>
  </si>
  <si>
    <t>KEL 369</t>
  </si>
  <si>
    <t>KEL 370</t>
  </si>
  <si>
    <t>KEL 371</t>
  </si>
  <si>
    <t>KEL 372</t>
  </si>
  <si>
    <t>KEL 373</t>
  </si>
  <si>
    <t>KEL 374</t>
  </si>
  <si>
    <t>KEL 375</t>
  </si>
  <si>
    <t>KEL 376</t>
  </si>
  <si>
    <t>KEL 377</t>
  </si>
  <si>
    <t>KEL 378</t>
  </si>
  <si>
    <t>KEL 379</t>
  </si>
  <si>
    <t>KEL 380</t>
  </si>
  <si>
    <t>KEL 381</t>
  </si>
  <si>
    <t>KEL 382</t>
  </si>
  <si>
    <t>KEL 383</t>
  </si>
  <si>
    <t>KEL 384</t>
  </si>
  <si>
    <t>KEL 385</t>
  </si>
  <si>
    <t>KEL 386</t>
  </si>
  <si>
    <t>KEL 387</t>
  </si>
  <si>
    <t>CR004</t>
  </si>
  <si>
    <t>KEL 388</t>
  </si>
  <si>
    <t>KEL 389</t>
  </si>
  <si>
    <t>KEL 390</t>
  </si>
  <si>
    <t>KEL 391</t>
  </si>
  <si>
    <t>KEL 392</t>
  </si>
  <si>
    <t>KEL 393</t>
  </si>
  <si>
    <t>KEL 394</t>
  </si>
  <si>
    <t>KEL 395</t>
  </si>
  <si>
    <t>KEL 396</t>
  </si>
  <si>
    <t>KEL 397</t>
  </si>
  <si>
    <t>KEL 398</t>
  </si>
  <si>
    <t>KEL 399</t>
  </si>
  <si>
    <t>KEL 400</t>
  </si>
  <si>
    <t>KEL 401</t>
  </si>
  <si>
    <t>KEL 402</t>
  </si>
  <si>
    <t>KEL 403</t>
  </si>
  <si>
    <t>KEL 404</t>
  </si>
  <si>
    <t>KEL 405</t>
  </si>
  <si>
    <t>KEL 406</t>
  </si>
  <si>
    <t>KEL 407</t>
  </si>
  <si>
    <t>KEL 39</t>
  </si>
  <si>
    <t>KEL 99</t>
  </si>
  <si>
    <t>KEL 408</t>
  </si>
  <si>
    <t>KEL 409</t>
  </si>
  <si>
    <t>KEL 410</t>
  </si>
  <si>
    <t>KEL 411</t>
  </si>
  <si>
    <t>KEL 412</t>
  </si>
  <si>
    <t>KEL 413</t>
  </si>
  <si>
    <t>KEL 414</t>
  </si>
  <si>
    <t>KEL 415</t>
  </si>
  <si>
    <t>KEL 416</t>
  </si>
  <si>
    <t>KEL 417</t>
  </si>
  <si>
    <t>KEL 418</t>
  </si>
  <si>
    <t>KEL 419</t>
  </si>
  <si>
    <t>KEL 420</t>
  </si>
  <si>
    <t>KEL 421</t>
  </si>
  <si>
    <t>KEL 422</t>
  </si>
  <si>
    <t>KEL 423</t>
  </si>
  <si>
    <t>KEL 305.16</t>
  </si>
  <si>
    <t>KEL 424</t>
  </si>
  <si>
    <t>KEL 425</t>
  </si>
  <si>
    <t>KEL 426</t>
  </si>
  <si>
    <t>KEL 427</t>
  </si>
  <si>
    <t>KEL 428</t>
  </si>
  <si>
    <t>KEL 429</t>
  </si>
  <si>
    <t>KEL 430</t>
  </si>
  <si>
    <t>KEL 431</t>
  </si>
  <si>
    <t>KEL 432</t>
  </si>
  <si>
    <t>KEL 433</t>
  </si>
  <si>
    <t>KEL 434</t>
  </si>
  <si>
    <t>211201</t>
  </si>
  <si>
    <t xml:space="preserve"> CR031</t>
  </si>
  <si>
    <t xml:space="preserve"> CR040</t>
  </si>
  <si>
    <t xml:space="preserve"> CR041</t>
  </si>
  <si>
    <t xml:space="preserve"> CR063</t>
  </si>
  <si>
    <t xml:space="preserve"> CR004</t>
  </si>
  <si>
    <t>KEL 384.1</t>
  </si>
  <si>
    <t>KEL 384.2</t>
  </si>
  <si>
    <t>KEL 435</t>
  </si>
  <si>
    <t>KEL 24</t>
  </si>
  <si>
    <t>KEL 436</t>
  </si>
  <si>
    <t>KEL 437</t>
  </si>
  <si>
    <t>KEL 438</t>
  </si>
  <si>
    <t>KEL 439</t>
  </si>
  <si>
    <t>KEL 440</t>
  </si>
  <si>
    <t>KEL 441</t>
  </si>
  <si>
    <t>KEL 442</t>
  </si>
  <si>
    <t>KEL 443</t>
  </si>
  <si>
    <t>KEL 444</t>
  </si>
  <si>
    <t>KEL 445</t>
  </si>
  <si>
    <t>KEL 446</t>
  </si>
  <si>
    <t>KEL 447</t>
  </si>
  <si>
    <t>KEL 448</t>
  </si>
  <si>
    <t>KEL 449</t>
  </si>
  <si>
    <t>KEL 450</t>
  </si>
  <si>
    <t>KEL 451</t>
  </si>
  <si>
    <t>KEL 393.1</t>
  </si>
  <si>
    <t>KEL 393.2</t>
  </si>
  <si>
    <t>KEL 452</t>
  </si>
  <si>
    <t>KEL 453</t>
  </si>
  <si>
    <t>KEL 454</t>
  </si>
  <si>
    <t>KEL 455</t>
  </si>
  <si>
    <t>KEL 456</t>
  </si>
  <si>
    <t>KEL 457</t>
  </si>
  <si>
    <t>KEL 458</t>
  </si>
  <si>
    <t>KEL 459</t>
  </si>
  <si>
    <t>KEL 460</t>
  </si>
  <si>
    <t>KEL 461</t>
  </si>
  <si>
    <t>KEL 462</t>
  </si>
  <si>
    <t>KEL 463</t>
  </si>
  <si>
    <t>KEL 464</t>
  </si>
  <si>
    <t>KEL 465</t>
  </si>
  <si>
    <t>KEL 466</t>
  </si>
  <si>
    <t>KEL 467</t>
  </si>
  <si>
    <t>KEL 468</t>
  </si>
  <si>
    <t>KEL 469</t>
  </si>
  <si>
    <t>KEL 084</t>
  </si>
  <si>
    <t>SCP_CR065</t>
  </si>
  <si>
    <t>KEL 470</t>
  </si>
  <si>
    <t>KEL 305.6</t>
  </si>
  <si>
    <t>KEL 305.7</t>
  </si>
  <si>
    <t>KEL 471</t>
  </si>
  <si>
    <t>KEL 369.1</t>
  </si>
  <si>
    <t>KEL 369.5</t>
  </si>
  <si>
    <t>KEL 369.11</t>
  </si>
  <si>
    <t>KEL 369.12</t>
  </si>
  <si>
    <t>CR065/CR147</t>
  </si>
  <si>
    <t>KEL 472</t>
  </si>
  <si>
    <t>KEL 473</t>
  </si>
  <si>
    <t>KEL 474</t>
  </si>
  <si>
    <t>KEL 369.7</t>
  </si>
  <si>
    <t>KEL 475</t>
  </si>
  <si>
    <t>KEL 369.2</t>
  </si>
  <si>
    <t>KEL 369.3</t>
  </si>
  <si>
    <t>KEL 369.4</t>
  </si>
  <si>
    <t>KEL 369.6</t>
  </si>
  <si>
    <t>KEL 369.8</t>
  </si>
  <si>
    <t>KEL 369.9</t>
  </si>
  <si>
    <t>KEL 305.2</t>
  </si>
  <si>
    <t>KEL 305.3</t>
  </si>
  <si>
    <t>KEL 305.4</t>
  </si>
  <si>
    <t>KEL 099</t>
  </si>
  <si>
    <t>KEL 024</t>
  </si>
  <si>
    <t>KEL 476</t>
  </si>
  <si>
    <t>KEL 477</t>
  </si>
  <si>
    <t>KEL 478</t>
  </si>
  <si>
    <t>KEL 479</t>
  </si>
  <si>
    <t>KEL 480</t>
  </si>
  <si>
    <t>KEL 481</t>
  </si>
  <si>
    <t>KEL 482</t>
  </si>
  <si>
    <t>KEL 483</t>
  </si>
  <si>
    <t>KEL 484</t>
  </si>
  <si>
    <t xml:space="preserve"> KEL369.8</t>
  </si>
  <si>
    <t>KEL 485</t>
  </si>
  <si>
    <t>KEL 486</t>
  </si>
  <si>
    <t>KEL 487</t>
  </si>
  <si>
    <t>KEL  444</t>
  </si>
  <si>
    <t>KEL 488</t>
  </si>
  <si>
    <t>KEL 489</t>
  </si>
  <si>
    <t>KEL 490</t>
  </si>
  <si>
    <t>KEL 491</t>
  </si>
  <si>
    <t>KEL 492</t>
  </si>
  <si>
    <t>SCP_CR091</t>
  </si>
  <si>
    <t>KEL 493</t>
  </si>
  <si>
    <t>KEL 494</t>
  </si>
  <si>
    <t>KEL 495</t>
  </si>
  <si>
    <t>KEL 496</t>
  </si>
  <si>
    <t>KEL 497</t>
  </si>
  <si>
    <t>KEL 498</t>
  </si>
  <si>
    <t>KEL 499</t>
  </si>
  <si>
    <t>KEL 500</t>
  </si>
  <si>
    <t>KEL 501</t>
  </si>
  <si>
    <t>KEL 502</t>
  </si>
  <si>
    <t>KEL 503</t>
  </si>
  <si>
    <t>KEL 504</t>
  </si>
  <si>
    <t>KEL 505</t>
  </si>
  <si>
    <t>KEL 506</t>
  </si>
  <si>
    <t>KEL 507</t>
  </si>
  <si>
    <t>KEL 508</t>
  </si>
  <si>
    <t>KEL 509</t>
  </si>
  <si>
    <t>KEL 510</t>
  </si>
  <si>
    <t>KEL 511</t>
  </si>
  <si>
    <t>KEL 512</t>
  </si>
  <si>
    <t>KEL 513</t>
  </si>
  <si>
    <t>KEL 514</t>
  </si>
  <si>
    <t>KEL 515</t>
  </si>
  <si>
    <t>KEL 516</t>
  </si>
  <si>
    <t>KEL  239</t>
  </si>
  <si>
    <t>KEL  219</t>
  </si>
  <si>
    <t>KEL  363</t>
  </si>
  <si>
    <t>KEL  369.4</t>
  </si>
  <si>
    <t>KEL  369.6</t>
  </si>
  <si>
    <t>KEL  142</t>
  </si>
  <si>
    <t>KEL 517</t>
  </si>
  <si>
    <t>KEL 518</t>
  </si>
  <si>
    <t>KEL 519</t>
  </si>
  <si>
    <t>KE L502</t>
  </si>
  <si>
    <t>KEL 520</t>
  </si>
  <si>
    <t>KEL 521</t>
  </si>
  <si>
    <t>KEL433</t>
  </si>
  <si>
    <t>KEL 522</t>
  </si>
  <si>
    <t>KEL 523</t>
  </si>
  <si>
    <t>KEL 524</t>
  </si>
  <si>
    <t>KEL 525</t>
  </si>
  <si>
    <t>KEL 526</t>
  </si>
  <si>
    <t>KEL 527</t>
  </si>
  <si>
    <t>KEL 528</t>
  </si>
  <si>
    <t>KEL 529</t>
  </si>
  <si>
    <t>KEL 530</t>
  </si>
  <si>
    <t>230608</t>
  </si>
  <si>
    <t>KEL 531</t>
  </si>
  <si>
    <t>KEL 532</t>
  </si>
  <si>
    <t>KEL 533</t>
  </si>
  <si>
    <t>KEL 534</t>
  </si>
  <si>
    <t>KEL 535</t>
  </si>
  <si>
    <t>KEL 536</t>
  </si>
  <si>
    <t>KEL 537</t>
  </si>
  <si>
    <t>230615</t>
  </si>
  <si>
    <t>KEL 538</t>
  </si>
  <si>
    <t>KEL 539</t>
  </si>
  <si>
    <t>KEL 540</t>
  </si>
  <si>
    <t>230622</t>
  </si>
  <si>
    <t>KEL 541</t>
  </si>
  <si>
    <t>230706</t>
  </si>
  <si>
    <t>KEL 542</t>
  </si>
  <si>
    <t>KEL 543</t>
  </si>
  <si>
    <t>KEL 544</t>
  </si>
  <si>
    <t>KEL 545</t>
  </si>
  <si>
    <t>KEL 546</t>
  </si>
  <si>
    <t>230713</t>
  </si>
  <si>
    <t>KEL 547</t>
  </si>
  <si>
    <t>KEL 548</t>
  </si>
  <si>
    <t>KEL 549</t>
  </si>
  <si>
    <t>230720</t>
  </si>
  <si>
    <t>230727</t>
  </si>
  <si>
    <t>KEL 550</t>
  </si>
  <si>
    <t>KEL 551</t>
  </si>
  <si>
    <t>230803</t>
  </si>
  <si>
    <t>KEL 552</t>
  </si>
  <si>
    <t>KEL 553</t>
  </si>
  <si>
    <t>230810</t>
  </si>
  <si>
    <t>KEL 554</t>
  </si>
  <si>
    <t>230817</t>
  </si>
  <si>
    <t>KEL 555</t>
  </si>
  <si>
    <t>230831</t>
  </si>
  <si>
    <t>KEL 556</t>
  </si>
  <si>
    <t>230914</t>
  </si>
  <si>
    <t>KEL 557</t>
  </si>
  <si>
    <t>KEL 558</t>
  </si>
  <si>
    <t>KEL 559</t>
  </si>
  <si>
    <t>KEL 600</t>
  </si>
  <si>
    <t>230928</t>
  </si>
  <si>
    <t>KEL 601</t>
  </si>
  <si>
    <t>KEL 602</t>
  </si>
  <si>
    <t>231005</t>
  </si>
  <si>
    <t>KEL 603</t>
  </si>
  <si>
    <t>KEL 604</t>
  </si>
  <si>
    <t>231012</t>
  </si>
  <si>
    <t>KEL 605</t>
  </si>
  <si>
    <t>KEL 606</t>
  </si>
  <si>
    <t>KEL 607</t>
  </si>
  <si>
    <t>KEL 608</t>
  </si>
  <si>
    <t>KEL 609</t>
  </si>
  <si>
    <t>231026</t>
  </si>
  <si>
    <t>KEL 610</t>
  </si>
  <si>
    <t>KEL 611</t>
  </si>
  <si>
    <t>231109</t>
  </si>
  <si>
    <t>KEL 612</t>
  </si>
  <si>
    <t>231123</t>
  </si>
  <si>
    <t>231130</t>
  </si>
  <si>
    <t>KEL 613</t>
  </si>
  <si>
    <t>231208</t>
  </si>
  <si>
    <t>231221</t>
  </si>
  <si>
    <t>240111</t>
  </si>
  <si>
    <t>240116</t>
  </si>
  <si>
    <t>KEL 614</t>
  </si>
  <si>
    <t>KEL 615</t>
  </si>
  <si>
    <t>240125</t>
  </si>
  <si>
    <t>KEL 616</t>
  </si>
  <si>
    <t>KEL 617</t>
  </si>
  <si>
    <t>240208</t>
  </si>
  <si>
    <t>KEL 618</t>
  </si>
  <si>
    <t>240216</t>
  </si>
  <si>
    <t>240222</t>
  </si>
  <si>
    <t>240304</t>
  </si>
  <si>
    <t>240307</t>
  </si>
  <si>
    <t>240314</t>
  </si>
  <si>
    <t>240318</t>
  </si>
  <si>
    <t>240321</t>
  </si>
  <si>
    <t>KEL 619</t>
  </si>
  <si>
    <t>KEL 620</t>
  </si>
  <si>
    <t>240404</t>
  </si>
  <si>
    <t>KEL 621</t>
  </si>
  <si>
    <t>KEL 622</t>
  </si>
  <si>
    <t>KEL 623</t>
  </si>
  <si>
    <t>240418</t>
  </si>
  <si>
    <t>KEL 624</t>
  </si>
  <si>
    <t>KEL 625</t>
  </si>
  <si>
    <t>240422</t>
  </si>
  <si>
    <t>240509</t>
  </si>
  <si>
    <t>240516</t>
  </si>
  <si>
    <t>240530</t>
  </si>
  <si>
    <t>KEL 626</t>
  </si>
  <si>
    <t>240613</t>
  </si>
  <si>
    <t>240621</t>
  </si>
  <si>
    <t>KEL 627</t>
  </si>
  <si>
    <t>240627</t>
  </si>
  <si>
    <t>KEL 628</t>
  </si>
  <si>
    <t>KEL 629</t>
  </si>
  <si>
    <t>KEL 630</t>
  </si>
  <si>
    <t>230725</t>
  </si>
  <si>
    <t>KEL 631</t>
  </si>
  <si>
    <t>240808</t>
  </si>
  <si>
    <t>240823</t>
  </si>
  <si>
    <t>KEL 632</t>
  </si>
  <si>
    <t>KEL 633</t>
  </si>
  <si>
    <t>240905</t>
  </si>
  <si>
    <t>KEL 634</t>
  </si>
  <si>
    <t>KEL 635</t>
  </si>
  <si>
    <t>240919</t>
  </si>
  <si>
    <t>KEL 636</t>
  </si>
  <si>
    <t>KEL 637</t>
  </si>
  <si>
    <t>KEL 638</t>
  </si>
  <si>
    <t>KEL 639</t>
  </si>
  <si>
    <t>KEL 640</t>
  </si>
  <si>
    <t>KEL 641</t>
  </si>
  <si>
    <t>KEL 642</t>
  </si>
  <si>
    <t>KEL 643</t>
  </si>
  <si>
    <t>KEL 644</t>
  </si>
  <si>
    <t>KEL 645</t>
  </si>
  <si>
    <t>KEL 646</t>
  </si>
  <si>
    <t>KEL 647</t>
  </si>
  <si>
    <t>KEL 648</t>
  </si>
  <si>
    <t>KEL 649</t>
  </si>
  <si>
    <t>KEL 650</t>
  </si>
  <si>
    <t>Revised CR</t>
  </si>
  <si>
    <t>CR045</t>
  </si>
  <si>
    <t xml:space="preserve"> SCP038</t>
  </si>
  <si>
    <t xml:space="preserve"> SCP380</t>
  </si>
  <si>
    <t xml:space="preserve"> SCP419</t>
  </si>
  <si>
    <t>KEL 651</t>
  </si>
  <si>
    <t>KEL 652</t>
  </si>
  <si>
    <t>KEL 653</t>
  </si>
  <si>
    <t>KEL 654</t>
  </si>
  <si>
    <t>KEL 655</t>
  </si>
  <si>
    <t>KEL 656</t>
  </si>
  <si>
    <t>CR 12</t>
  </si>
  <si>
    <t>KEL 657</t>
  </si>
  <si>
    <t>KEL 658</t>
  </si>
  <si>
    <t>KEL 659</t>
  </si>
  <si>
    <t>KEL 660</t>
  </si>
  <si>
    <t>KEL 661</t>
  </si>
  <si>
    <t>When a departed DUCR is associated to a non-departed MUCR, this is successful, but moves the MUCR to a state where it is considered 'departed' itself (all child DUCRs are departed). When attempting another association of a departed or non-departed DUCR to the MUCR, or disassociating the departed DUCR, this fails with the error: 'EAC fails validation – submitter is not HMRC and parent MUCR has already departed/frustrated' 
The MUCR becomes unstable only when it is empty and the departed DUCR is the first DUCR associated to it. 
If the MUCR already contained another DUCR and then the departed DUCR was added, the MUCR is fine.</t>
  </si>
  <si>
    <t>251204</t>
  </si>
  <si>
    <t>This defect was fixed in Production as part of CDS4.9.1 on 05/11/2025. It was resolved in Trade Test TTM32.0 on 03/12/2025 and will be resolved in Trader Dress Rehearsal 5.0.0 scheduled for 16/12/2025</t>
  </si>
  <si>
    <t xml:space="preserve">Resolved KEL </t>
  </si>
  <si>
    <t>Resolved 5.0.0</t>
  </si>
  <si>
    <t>KEL 569</t>
  </si>
  <si>
    <t>A fix will not be delivered for this defect. CDS 03 Declaration Submission Service Design (DSSD) has been updated in section 3.3.3.1.1 Additional notes on declaratations with partial quota claims.</t>
  </si>
  <si>
    <t>260211</t>
  </si>
  <si>
    <t>Change Request</t>
  </si>
  <si>
    <t>Removal of SCP167 Identify cash account reference
A number of large intermediaries use cash accounts opposed to duty deferment account. They use the cash account by getting their clients to top their cash account up and then by making the payments to HMRC from their cash account. Where intermediaries receive payments into their cash accounts from customers, they have no way of seeing who has made each payment they can see the amount received but not from who it came. There are external workarounds to help owners identify the payments including: Asking customers to pay ‘unique’ amounts where possible.
Staggering payment dates between customers where possible</t>
  </si>
  <si>
    <t>Closed 11/02/2026</t>
  </si>
  <si>
    <t>This CR has been descoped from future delivery.</t>
  </si>
  <si>
    <t>620, SCP480, CDSCR-88</t>
  </si>
  <si>
    <t>Resolved 5.1.0</t>
  </si>
  <si>
    <t xml:space="preserve">Closed with CDA decommissioning </t>
  </si>
  <si>
    <t>510, 637, 649, 660, SCP380, SCP_CR135</t>
  </si>
  <si>
    <t>Resolved 5.0.1</t>
  </si>
  <si>
    <t>660</t>
  </si>
  <si>
    <t>KEL 662</t>
  </si>
  <si>
    <t>When a trader submits an import declaration that includes different country code values in both DE 5/15 and DE 5/16, and the trader wants to claim a UK First-Come, First-Served (UKFCFS) quota, the declaration is rejected. The system returns the following error: CDS40010 – Data element value does not apply.</t>
  </si>
  <si>
    <t>Until this issue is resolved, traders should declare the same country code in both 5/15 &amp; 5/16 and declare the individual member state country code value rather than EU.</t>
  </si>
  <si>
    <t>260319</t>
  </si>
  <si>
    <t>Closed 19/03/2026</t>
  </si>
  <si>
    <t>CDS 5.2.0</t>
  </si>
  <si>
    <t xml:space="preserve">Correct behaviour: CDS instructions are to reject declarations containing a 100 series preference code in DE 4/17 with a supplied country of preferential origin in DE 5/16 where AI code 'EUPRF' is not declared in DE 2/2.
Error: CDS will accept declarations containing a 100 series preference code in DE 4/17 with a supplied country of preferential origin where 'EUPRF' is not declared. This will result in these declarations always being charged a non-preferential rate , as CDS will calculate solely based on the non-preferential measure and the country of origin 5/15.
 </t>
  </si>
  <si>
    <t xml:space="preserve"> Completion instructions should be followed for the completion of EUPRF; i.e. where an EU preference which is not in the 100 series and a UK 100 series preference code are declared, country of preferential origin DE 5/16 should be declared for the preference code declared against AI code EUPRF. CDS will use the EUPRF preference code with the country code declared in DE 5/16 to calculate the Northern Ireland customs duty at the appropriate preferential rate.</t>
  </si>
  <si>
    <t>KEL 663</t>
  </si>
  <si>
    <t>662, 663, 664</t>
  </si>
  <si>
    <t>In certain cases, quota claims may result in zero-charges being shown in statements &amp; records, where one tax line has zero liability. Those affected will see that there have been no updates to statements where expected, or where a security hasn't been brought to account or reimbursed.</t>
  </si>
  <si>
    <t>If you believe your declarations have been affected by this matter please contact the NCH to receive further information.</t>
  </si>
  <si>
    <t>Production only KEL</t>
  </si>
  <si>
    <t>Financial Statements</t>
  </si>
  <si>
    <t>KEL 664</t>
  </si>
  <si>
    <t>KEL 664 production only</t>
  </si>
  <si>
    <t>Import declarations that make claims to a critical quota, where the goods are also liable to alcohol tax types requiring ASV to be declared, should benefit from both critical quota and out-of-quota rates where the quota is only partially available. However, CDS will not correctly process these specific declarations and affected cases will not progress to clearance.</t>
  </si>
  <si>
    <t>Submitters can invalidate and resubmit affected declarations, however there is no guarantee that the same quota proportion available on the first declaration will be assigned. These declarations require manual intervention to refund duties to the trader and finalise any necessary securities. Please contact the National Clearance Hub for more information.</t>
  </si>
  <si>
    <t>260423</t>
  </si>
  <si>
    <t>KEL 665</t>
  </si>
  <si>
    <t>260521</t>
  </si>
  <si>
    <t>CDS 01 Inventory Linking Exports Service Design has been updated to clarify system behaviour. Please refer to section 2.1.2.3 Further Error Scenarios "Please note this constraint applies to MUCRs with attached DUCRs in the MUCR tree only. There is no restriction on the number of empty MUCRs that can be created."</t>
  </si>
  <si>
    <t>Closed 21/05/2026</t>
  </si>
  <si>
    <t>CDS 5.3.0</t>
  </si>
  <si>
    <t>21/052026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</si>
</sst>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0"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6"/>
      <color theme="4" tint="-0.249977111117893"/>
      <name val="Calibri"/>
      <family val="2"/>
      <scheme val="minor"/>
    </font>
    <font>
      <b/>
      <sz val="11"/>
      <color rgb="FFFF0000"/>
      <name val="Calibri"/>
      <family val="2"/>
      <scheme val="minor"/>
    </font>
    <font>
      <strike/>
      <sz val="11"/>
      <color theme="1"/>
      <name val="Calibri"/>
      <family val="2"/>
      <scheme val="minor"/>
    </font>
    <font>
      <sz val="11"/>
      <color theme="9" tint="-0.499984740745262"/>
      <name val="Calibri"/>
      <family val="2"/>
      <scheme val="minor"/>
    </font>
    <font>
      <sz val="11"/>
      <color theme="8"/>
      <name val="Calibri"/>
      <family val="2"/>
      <scheme val="minor"/>
    </font>
    <font>
      <sz val="10.5"/>
      <name val="Arial"/>
      <family val="2"/>
    </font>
    <font>
      <b/>
      <sz val="11"/>
      <color theme="9" tint="-0.499984740745262"/>
      <name val="Calibri"/>
      <family val="2"/>
      <scheme val="minor"/>
    </font>
    <font>
      <i/>
      <sz val="10"/>
      <color theme="0"/>
      <name val="Calibri"/>
      <family val="2"/>
      <scheme val="minor"/>
    </font>
    <font>
      <i/>
      <sz val="11"/>
      <color rgb="FFFF0000"/>
      <name val="Calibri"/>
      <family val="2"/>
      <scheme val="minor"/>
    </font>
    <font>
      <i/>
      <sz val="11"/>
      <color theme="0"/>
      <name val="Calibri"/>
      <family val="2"/>
      <scheme val="minor"/>
    </font>
    <font>
      <sz val="11"/>
      <color rgb="FF000000"/>
      <name val="Calibri"/>
      <family val="2"/>
    </font>
    <font>
      <sz val="11"/>
      <name val="Calibri"/>
      <family val="2"/>
    </font>
    <font>
      <b/>
      <sz val="11"/>
      <color rgb="FF000000"/>
      <name val="Calibri"/>
      <family val="2"/>
    </font>
    <font>
      <sz val="11"/>
      <color rgb="FF000000"/>
      <name val="Calibri"/>
      <family val="2"/>
      <scheme val="minor"/>
    </font>
    <font>
      <u/>
      <sz val="11"/>
      <color theme="10"/>
      <name val="Calibri"/>
      <family val="2"/>
      <scheme val="minor"/>
    </font>
    <font>
      <sz val="11"/>
      <color rgb="FF333333"/>
      <name val="Calibri"/>
      <family val="2"/>
      <scheme val="minor"/>
    </font>
    <font>
      <vertAlign val="superscript"/>
      <sz val="11"/>
      <color theme="1"/>
      <name val="Calibri"/>
      <family val="2"/>
      <scheme val="minor"/>
    </font>
    <font>
      <b/>
      <i/>
      <sz val="11"/>
      <color theme="1"/>
      <name val="Calibri"/>
      <family val="2"/>
      <scheme val="minor"/>
    </font>
    <font>
      <sz val="13"/>
      <color theme="1"/>
      <name val="Calibri"/>
      <family val="2"/>
      <scheme val="minor"/>
    </font>
    <font>
      <i/>
      <sz val="11"/>
      <name val="Calibri"/>
      <family val="2"/>
      <scheme val="minor"/>
    </font>
    <font>
      <strike/>
      <sz val="11"/>
      <name val="Calibri"/>
      <family val="2"/>
      <scheme val="minor"/>
    </font>
    <font>
      <sz val="11"/>
      <color theme="1"/>
      <name val="Calibri"/>
      <family val="2"/>
    </font>
    <font>
      <sz val="10"/>
      <color rgb="FF000000"/>
      <name val="Calibri"/>
      <family val="2"/>
    </font>
    <font>
      <sz val="8"/>
      <name val="Calibri"/>
      <family val="2"/>
      <scheme val="minor"/>
    </font>
    <font>
      <strike/>
      <sz val="11"/>
      <color rgb="FFFF0000"/>
      <name val="Calibri"/>
      <family val="2"/>
      <scheme val="minor"/>
    </font>
    <font>
      <u/>
      <sz val="11"/>
      <name val="Calibri"/>
      <family val="2"/>
      <scheme val="minor"/>
    </font>
    <font>
      <sz val="11"/>
      <color rgb="FF172B4D"/>
      <name val="Calibri"/>
      <family val="2"/>
      <scheme val="minor"/>
    </font>
    <font>
      <sz val="12"/>
      <color rgb="FF000000"/>
      <name val="Calibri"/>
      <family val="2"/>
    </font>
    <font>
      <b/>
      <sz val="11"/>
      <name val="Calibri"/>
      <family val="2"/>
      <scheme val="minor"/>
    </font>
    <font>
      <b/>
      <sz val="12"/>
      <name val="Calibri"/>
      <family val="2"/>
      <scheme val="minor"/>
    </font>
    <font>
      <sz val="12"/>
      <name val="Calibri"/>
      <family val="2"/>
      <scheme val="minor"/>
    </font>
    <font>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rgb="FF0070C0"/>
        <bgColor indexed="64"/>
      </patternFill>
    </fill>
    <fill>
      <patternFill patternType="solid">
        <fgColor theme="0"/>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FF00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rgb="FFA5A5A5"/>
      </left>
      <right/>
      <top style="thin">
        <color rgb="FFA5A5A5"/>
      </top>
      <bottom/>
      <diagonal/>
    </border>
    <border>
      <left/>
      <right/>
      <top style="thin">
        <color rgb="FFA5A5A5"/>
      </top>
      <bottom/>
      <diagonal/>
    </border>
    <border>
      <left/>
      <right style="thin">
        <color rgb="FFA5A5A5"/>
      </right>
      <top style="thin">
        <color rgb="FFA5A5A5"/>
      </top>
      <bottom/>
      <diagonal/>
    </border>
    <border>
      <left style="thin">
        <color rgb="FF000000"/>
      </left>
      <right/>
      <top style="thin">
        <color rgb="FF000000"/>
      </top>
      <bottom/>
      <diagonal/>
    </border>
    <border>
      <left/>
      <right style="thin">
        <color rgb="FF000000"/>
      </right>
      <top style="thin">
        <color rgb="FF000000"/>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top style="thin">
        <color theme="6"/>
      </top>
      <bottom/>
      <diagonal/>
    </border>
    <border>
      <left style="thin">
        <color theme="6"/>
      </left>
      <right/>
      <top style="thin">
        <color theme="6"/>
      </top>
      <bottom/>
      <diagonal/>
    </border>
    <border>
      <left/>
      <right style="thin">
        <color theme="6"/>
      </right>
      <top style="thin">
        <color theme="6"/>
      </top>
      <bottom/>
      <diagonal/>
    </border>
    <border>
      <left/>
      <right/>
      <top style="thin">
        <color theme="6"/>
      </top>
      <bottom style="thin">
        <color theme="6"/>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6"/>
      </left>
      <right/>
      <top/>
      <bottom/>
      <diagonal/>
    </border>
    <border>
      <left style="thin">
        <color indexed="64"/>
      </left>
      <right style="thin">
        <color theme="8"/>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rgb="FF000000"/>
      </top>
      <bottom style="thin">
        <color indexed="64"/>
      </bottom>
      <diagonal/>
    </border>
    <border>
      <left/>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5">
    <xf numFmtId="0" fontId="0" fillId="0" borderId="0"/>
    <xf numFmtId="0" fontId="22" fillId="0" borderId="0" applyNumberFormat="0" applyFill="0" applyBorder="0" applyAlignment="0" applyProtection="0"/>
    <xf numFmtId="0" fontId="18" fillId="0" borderId="0"/>
    <xf numFmtId="0" fontId="22" fillId="0" borderId="0" applyNumberFormat="0" applyFill="0" applyBorder="0" applyAlignment="0" applyProtection="0"/>
    <xf numFmtId="0" fontId="18" fillId="0" borderId="0" applyNumberFormat="0" applyFont="0" applyBorder="0" applyProtection="0"/>
  </cellStyleXfs>
  <cellXfs count="232">
    <xf numFmtId="0" fontId="0" fillId="0" borderId="0" xfId="0"/>
    <xf numFmtId="0" fontId="0" fillId="0" borderId="0" xfId="0" applyAlignment="1">
      <alignment horizontal="center"/>
    </xf>
    <xf numFmtId="0" fontId="0" fillId="0" borderId="1" xfId="0" applyBorder="1" applyAlignment="1">
      <alignment horizontal="center"/>
    </xf>
    <xf numFmtId="0" fontId="5" fillId="0" borderId="1" xfId="0" applyFont="1" applyBorder="1" applyAlignment="1">
      <alignment horizontal="center" wrapText="1"/>
    </xf>
    <xf numFmtId="3" fontId="0" fillId="0" borderId="1" xfId="0" applyNumberFormat="1" applyBorder="1" applyAlignment="1">
      <alignment horizontal="center"/>
    </xf>
    <xf numFmtId="0" fontId="0" fillId="0" borderId="1" xfId="0" applyBorder="1" applyAlignment="1">
      <alignment horizontal="center" wrapText="1"/>
    </xf>
    <xf numFmtId="0" fontId="0" fillId="0" borderId="1" xfId="0"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left" wrapText="1"/>
    </xf>
    <xf numFmtId="0" fontId="0" fillId="0" borderId="1" xfId="0" applyBorder="1"/>
    <xf numFmtId="0" fontId="0" fillId="0" borderId="1" xfId="0" applyBorder="1" applyAlignment="1">
      <alignment vertical="center"/>
    </xf>
    <xf numFmtId="0" fontId="0" fillId="0" borderId="1" xfId="0" quotePrefix="1" applyBorder="1" applyAlignment="1">
      <alignment horizontal="center" vertical="center"/>
    </xf>
    <xf numFmtId="2" fontId="0" fillId="0" borderId="1" xfId="0" applyNumberFormat="1" applyBorder="1" applyAlignment="1">
      <alignment horizontal="center"/>
    </xf>
    <xf numFmtId="0" fontId="4" fillId="2" borderId="1" xfId="0" applyFont="1" applyFill="1" applyBorder="1" applyAlignment="1">
      <alignment horizontal="center" vertical="center"/>
    </xf>
    <xf numFmtId="0" fontId="4" fillId="2" borderId="1" xfId="0" applyFont="1" applyFill="1" applyBorder="1" applyAlignment="1">
      <alignment horizontal="center" vertical="center" wrapText="1"/>
    </xf>
    <xf numFmtId="0" fontId="0" fillId="0" borderId="1" xfId="0" applyBorder="1" applyAlignment="1">
      <alignment vertical="center" wrapText="1"/>
    </xf>
    <xf numFmtId="3" fontId="0" fillId="0" borderId="1" xfId="0" applyNumberFormat="1" applyBorder="1" applyAlignment="1">
      <alignment horizontal="center" vertical="center"/>
    </xf>
    <xf numFmtId="0" fontId="5" fillId="0" borderId="1" xfId="0" applyFont="1" applyBorder="1" applyAlignment="1">
      <alignment horizontal="center" vertical="center" wrapText="1"/>
    </xf>
    <xf numFmtId="49" fontId="2" fillId="3" borderId="1" xfId="0" applyNumberFormat="1" applyFont="1" applyFill="1" applyBorder="1" applyAlignment="1">
      <alignment horizontal="center" vertical="center" wrapText="1"/>
    </xf>
    <xf numFmtId="49" fontId="0" fillId="0" borderId="1" xfId="0" applyNumberFormat="1" applyBorder="1" applyAlignment="1">
      <alignment horizontal="center" vertical="center" wrapText="1"/>
    </xf>
    <xf numFmtId="49" fontId="0" fillId="0" borderId="0" xfId="0" applyNumberFormat="1" applyAlignment="1">
      <alignment horizontal="center" vertical="center" wrapText="1"/>
    </xf>
    <xf numFmtId="3" fontId="0" fillId="0" borderId="1" xfId="0" applyNumberFormat="1" applyBorder="1" applyAlignment="1">
      <alignment horizontal="center" vertical="center" wrapText="1"/>
    </xf>
    <xf numFmtId="14" fontId="0" fillId="0" borderId="1" xfId="0" applyNumberFormat="1" applyBorder="1" applyAlignment="1">
      <alignment horizontal="center" vertical="center"/>
    </xf>
    <xf numFmtId="14" fontId="0" fillId="0" borderId="1" xfId="0" applyNumberFormat="1" applyBorder="1" applyAlignment="1">
      <alignment horizontal="center"/>
    </xf>
    <xf numFmtId="0" fontId="0" fillId="0" borderId="1" xfId="0" quotePrefix="1" applyBorder="1" applyAlignment="1">
      <alignment horizontal="center" vertical="center" wrapText="1"/>
    </xf>
    <xf numFmtId="0" fontId="2" fillId="3" borderId="1" xfId="0" applyFont="1" applyFill="1" applyBorder="1" applyAlignment="1">
      <alignment horizontal="center" vertical="center" wrapText="1"/>
    </xf>
    <xf numFmtId="0" fontId="0" fillId="0" borderId="1" xfId="0" applyBorder="1" applyAlignment="1">
      <alignment wrapText="1"/>
    </xf>
    <xf numFmtId="0" fontId="2" fillId="3" borderId="0" xfId="0" applyFon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0" fontId="18" fillId="0" borderId="0" xfId="0" applyFont="1" applyAlignment="1">
      <alignment wrapText="1"/>
    </xf>
    <xf numFmtId="49" fontId="2" fillId="3" borderId="2" xfId="0" applyNumberFormat="1" applyFont="1" applyFill="1" applyBorder="1" applyAlignment="1">
      <alignment horizontal="center" vertical="center" wrapText="1"/>
    </xf>
    <xf numFmtId="0" fontId="2" fillId="3" borderId="2" xfId="0" applyFont="1" applyFill="1" applyBorder="1" applyAlignment="1">
      <alignment horizontal="left" vertical="top" wrapText="1"/>
    </xf>
    <xf numFmtId="0" fontId="0" fillId="0" borderId="0" xfId="0" pivotButton="1"/>
    <xf numFmtId="0" fontId="0" fillId="0" borderId="0" xfId="0" applyAlignment="1">
      <alignment horizontal="left"/>
    </xf>
    <xf numFmtId="0" fontId="0" fillId="4" borderId="0" xfId="0" applyFill="1"/>
    <xf numFmtId="0" fontId="0" fillId="5" borderId="0" xfId="0" applyFill="1"/>
    <xf numFmtId="14" fontId="4" fillId="4" borderId="1" xfId="0" applyNumberFormat="1" applyFont="1" applyFill="1" applyBorder="1" applyAlignment="1">
      <alignment horizontal="center" vertical="center"/>
    </xf>
    <xf numFmtId="49" fontId="0" fillId="0" borderId="0" xfId="0" applyNumberFormat="1"/>
    <xf numFmtId="49" fontId="18" fillId="0" borderId="0" xfId="0" applyNumberFormat="1" applyFont="1" applyAlignment="1">
      <alignment wrapText="1"/>
    </xf>
    <xf numFmtId="49" fontId="4" fillId="4" borderId="1" xfId="0" applyNumberFormat="1" applyFont="1" applyFill="1" applyBorder="1" applyAlignment="1">
      <alignment horizontal="center" vertical="center"/>
    </xf>
    <xf numFmtId="0" fontId="18" fillId="0" borderId="12" xfId="0" applyFont="1" applyBorder="1" applyAlignment="1">
      <alignment wrapText="1"/>
    </xf>
    <xf numFmtId="0" fontId="18" fillId="0" borderId="13" xfId="0" applyFont="1" applyBorder="1" applyAlignment="1">
      <alignment wrapText="1"/>
    </xf>
    <xf numFmtId="0" fontId="18" fillId="0" borderId="14" xfId="0" applyFont="1" applyBorder="1" applyAlignment="1">
      <alignment wrapText="1"/>
    </xf>
    <xf numFmtId="14" fontId="18" fillId="0" borderId="0" xfId="0" applyNumberFormat="1" applyFont="1" applyAlignment="1">
      <alignment wrapText="1"/>
    </xf>
    <xf numFmtId="0" fontId="20" fillId="0" borderId="0" xfId="0" applyFont="1" applyAlignment="1">
      <alignment wrapText="1"/>
    </xf>
    <xf numFmtId="0" fontId="18" fillId="0" borderId="7" xfId="0" applyFont="1" applyBorder="1" applyAlignment="1">
      <alignment wrapText="1"/>
    </xf>
    <xf numFmtId="49" fontId="18" fillId="0" borderId="8" xfId="0" applyNumberFormat="1" applyFont="1" applyBorder="1" applyAlignment="1">
      <alignment wrapText="1"/>
    </xf>
    <xf numFmtId="14" fontId="18" fillId="0" borderId="9" xfId="0" applyNumberFormat="1" applyFont="1" applyBorder="1" applyAlignment="1">
      <alignment wrapText="1"/>
    </xf>
    <xf numFmtId="49" fontId="5" fillId="0" borderId="1" xfId="0" applyNumberFormat="1" applyFont="1" applyBorder="1" applyAlignment="1">
      <alignment horizontal="center" vertical="center" wrapText="1"/>
    </xf>
    <xf numFmtId="0" fontId="0" fillId="0" borderId="16" xfId="0" applyBorder="1"/>
    <xf numFmtId="49" fontId="0" fillId="0" borderId="15" xfId="0" applyNumberFormat="1" applyBorder="1"/>
    <xf numFmtId="0" fontId="20" fillId="6" borderId="7" xfId="0" applyFont="1" applyFill="1" applyBorder="1" applyAlignment="1">
      <alignment wrapText="1"/>
    </xf>
    <xf numFmtId="0" fontId="20" fillId="6" borderId="9" xfId="0" applyFont="1" applyFill="1" applyBorder="1" applyAlignment="1">
      <alignment wrapText="1"/>
    </xf>
    <xf numFmtId="49" fontId="0" fillId="0" borderId="18" xfId="0" applyNumberFormat="1" applyBorder="1"/>
    <xf numFmtId="49" fontId="18" fillId="0" borderId="3" xfId="0" applyNumberFormat="1" applyFont="1" applyBorder="1" applyAlignment="1">
      <alignment wrapText="1"/>
    </xf>
    <xf numFmtId="49" fontId="18" fillId="0" borderId="5" xfId="0" applyNumberFormat="1" applyFont="1" applyBorder="1" applyAlignment="1">
      <alignment wrapText="1"/>
    </xf>
    <xf numFmtId="49" fontId="18" fillId="0" borderId="6" xfId="0" applyNumberFormat="1" applyFont="1" applyBorder="1" applyAlignment="1">
      <alignment wrapText="1"/>
    </xf>
    <xf numFmtId="49" fontId="20" fillId="6" borderId="8" xfId="0" applyNumberFormat="1" applyFont="1" applyFill="1" applyBorder="1" applyAlignment="1">
      <alignment wrapText="1"/>
    </xf>
    <xf numFmtId="0" fontId="0" fillId="4" borderId="0" xfId="0" applyFill="1" applyAlignment="1">
      <alignment vertical="top"/>
    </xf>
    <xf numFmtId="0" fontId="11" fillId="0" borderId="1" xfId="0" applyFont="1" applyBorder="1" applyAlignment="1">
      <alignment horizontal="center" vertical="center" wrapText="1"/>
    </xf>
    <xf numFmtId="0" fontId="10" fillId="0" borderId="1" xfId="0" applyFont="1" applyBorder="1" applyAlignment="1">
      <alignment vertical="center" wrapText="1"/>
    </xf>
    <xf numFmtId="0" fontId="0" fillId="4" borderId="0" xfId="0" applyFill="1" applyAlignment="1">
      <alignment horizontal="left" vertical="center"/>
    </xf>
    <xf numFmtId="0" fontId="0" fillId="4" borderId="0" xfId="0" applyFill="1" applyAlignment="1">
      <alignment horizontal="left"/>
    </xf>
    <xf numFmtId="164" fontId="0" fillId="4" borderId="0" xfId="0" applyNumberFormat="1" applyFill="1" applyAlignment="1">
      <alignment horizontal="right"/>
    </xf>
    <xf numFmtId="164" fontId="0" fillId="4" borderId="0" xfId="0" applyNumberFormat="1" applyFill="1"/>
    <xf numFmtId="164" fontId="0" fillId="4" borderId="0" xfId="0" applyNumberFormat="1" applyFill="1" applyAlignment="1">
      <alignment horizontal="left" vertical="center"/>
    </xf>
    <xf numFmtId="164" fontId="0" fillId="4" borderId="0" xfId="0" applyNumberFormat="1" applyFill="1" applyAlignment="1">
      <alignment horizontal="left"/>
    </xf>
    <xf numFmtId="14" fontId="0" fillId="0" borderId="17" xfId="0" applyNumberFormat="1" applyBorder="1"/>
    <xf numFmtId="49" fontId="0" fillId="0" borderId="0" xfId="0" applyNumberFormat="1" applyAlignment="1">
      <alignment horizontal="center" vertical="center"/>
    </xf>
    <xf numFmtId="49" fontId="0" fillId="0" borderId="0" xfId="0" applyNumberFormat="1" applyAlignment="1">
      <alignment wrapText="1"/>
    </xf>
    <xf numFmtId="49" fontId="0" fillId="0" borderId="15" xfId="0" applyNumberFormat="1" applyBorder="1" applyAlignment="1">
      <alignment wrapText="1"/>
    </xf>
    <xf numFmtId="49" fontId="4" fillId="2" borderId="1" xfId="0" applyNumberFormat="1" applyFont="1" applyFill="1" applyBorder="1" applyAlignment="1">
      <alignment horizontal="center" vertical="center"/>
    </xf>
    <xf numFmtId="49" fontId="0" fillId="0" borderId="1" xfId="0" applyNumberFormat="1" applyBorder="1" applyAlignment="1">
      <alignment horizontal="center" vertical="center"/>
    </xf>
    <xf numFmtId="49" fontId="0" fillId="0" borderId="1" xfId="0" applyNumberFormat="1" applyBorder="1" applyAlignment="1">
      <alignment horizontal="center"/>
    </xf>
    <xf numFmtId="0" fontId="10" fillId="0" borderId="1" xfId="0" applyFont="1" applyBorder="1" applyAlignment="1">
      <alignment horizontal="center" vertical="center" wrapText="1"/>
    </xf>
    <xf numFmtId="0" fontId="10" fillId="0" borderId="1" xfId="0" applyFont="1" applyBorder="1" applyAlignment="1">
      <alignment horizontal="center" vertical="center"/>
    </xf>
    <xf numFmtId="0" fontId="10" fillId="0" borderId="0" xfId="0" applyFont="1"/>
    <xf numFmtId="0" fontId="0" fillId="5" borderId="0" xfId="0" applyFill="1" applyAlignment="1">
      <alignment vertical="top"/>
    </xf>
    <xf numFmtId="0" fontId="4" fillId="4" borderId="0" xfId="0" applyFont="1" applyFill="1" applyAlignment="1">
      <alignment vertical="top"/>
    </xf>
    <xf numFmtId="0" fontId="0" fillId="0" borderId="0" xfId="0" applyAlignment="1">
      <alignment vertical="top"/>
    </xf>
    <xf numFmtId="49" fontId="4" fillId="4" borderId="0" xfId="0" applyNumberFormat="1" applyFont="1" applyFill="1" applyAlignment="1">
      <alignment vertical="top" wrapText="1"/>
    </xf>
    <xf numFmtId="14" fontId="0" fillId="0" borderId="0" xfId="0" applyNumberFormat="1" applyAlignment="1">
      <alignment horizontal="center" vertical="center"/>
    </xf>
    <xf numFmtId="49" fontId="0" fillId="0" borderId="0" xfId="0" applyNumberFormat="1" applyAlignment="1">
      <alignment horizontal="left" vertical="center"/>
    </xf>
    <xf numFmtId="0" fontId="6" fillId="0" borderId="1" xfId="0" applyFont="1" applyBorder="1" applyAlignment="1">
      <alignment horizontal="center" vertical="center" wrapText="1"/>
    </xf>
    <xf numFmtId="0" fontId="0" fillId="0" borderId="0" xfId="0" applyAlignment="1">
      <alignment horizontal="left" vertical="center"/>
    </xf>
    <xf numFmtId="14" fontId="0" fillId="0" borderId="0" xfId="0" applyNumberFormat="1"/>
    <xf numFmtId="49" fontId="10" fillId="0" borderId="1" xfId="0" applyNumberFormat="1" applyFont="1" applyBorder="1" applyAlignment="1">
      <alignment horizontal="center" vertical="center"/>
    </xf>
    <xf numFmtId="0" fontId="28" fillId="0" borderId="1" xfId="0" applyFont="1" applyBorder="1" applyAlignment="1">
      <alignment horizontal="center" vertical="center" wrapText="1"/>
    </xf>
    <xf numFmtId="49" fontId="0" fillId="4" borderId="1" xfId="0" applyNumberFormat="1" applyFill="1" applyBorder="1" applyAlignment="1">
      <alignment horizontal="center" vertical="center" wrapText="1"/>
    </xf>
    <xf numFmtId="0" fontId="5" fillId="4" borderId="1" xfId="0" applyFont="1" applyFill="1" applyBorder="1" applyAlignment="1">
      <alignment horizontal="center" vertical="center" wrapText="1"/>
    </xf>
    <xf numFmtId="0" fontId="0" fillId="0" borderId="0" xfId="0" applyAlignment="1">
      <alignment horizontal="left" wrapText="1"/>
    </xf>
    <xf numFmtId="0" fontId="0" fillId="4" borderId="1" xfId="0" applyFill="1" applyBorder="1" applyAlignment="1">
      <alignment horizontal="center" vertical="center" wrapText="1"/>
    </xf>
    <xf numFmtId="49" fontId="0" fillId="0" borderId="0" xfId="0" applyNumberFormat="1" applyAlignment="1">
      <alignment horizontal="left"/>
    </xf>
    <xf numFmtId="0" fontId="0" fillId="0" borderId="0" xfId="0" applyAlignment="1">
      <alignment wrapText="1"/>
    </xf>
    <xf numFmtId="49" fontId="0" fillId="0" borderId="1" xfId="0" quotePrefix="1" applyNumberFormat="1" applyBorder="1" applyAlignment="1">
      <alignment horizontal="center" vertical="center" wrapText="1"/>
    </xf>
    <xf numFmtId="0" fontId="0" fillId="0" borderId="1" xfId="0" applyBorder="1" applyAlignment="1">
      <alignment horizontal="center" vertical="top" wrapText="1"/>
    </xf>
    <xf numFmtId="3" fontId="0" fillId="0" borderId="1" xfId="0" applyNumberFormat="1" applyBorder="1" applyAlignment="1">
      <alignment horizontal="center" wrapText="1"/>
    </xf>
    <xf numFmtId="0" fontId="0" fillId="0" borderId="21" xfId="0" applyBorder="1"/>
    <xf numFmtId="0" fontId="0" fillId="0" borderId="1" xfId="0" applyBorder="1" applyAlignment="1">
      <alignment vertical="top" wrapText="1"/>
    </xf>
    <xf numFmtId="4" fontId="0" fillId="0" borderId="1" xfId="0" applyNumberFormat="1" applyBorder="1" applyAlignment="1">
      <alignment horizontal="center" wrapText="1"/>
    </xf>
    <xf numFmtId="0" fontId="0" fillId="4" borderId="0" xfId="0" applyFill="1" applyAlignment="1">
      <alignment horizontal="center" vertical="center" wrapText="1"/>
    </xf>
    <xf numFmtId="0" fontId="9" fillId="0" borderId="1" xfId="0" applyFont="1" applyBorder="1" applyAlignment="1">
      <alignment horizontal="center" vertical="center" wrapText="1"/>
    </xf>
    <xf numFmtId="49" fontId="5" fillId="4" borderId="1"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1" fontId="0" fillId="0" borderId="1" xfId="0" applyNumberFormat="1" applyBorder="1" applyAlignment="1">
      <alignment horizontal="center" wrapText="1"/>
    </xf>
    <xf numFmtId="0" fontId="0" fillId="4" borderId="4" xfId="0" applyFill="1" applyBorder="1" applyAlignment="1">
      <alignment horizontal="center" wrapText="1"/>
    </xf>
    <xf numFmtId="3" fontId="0" fillId="0" borderId="0" xfId="0" applyNumberFormat="1" applyAlignment="1">
      <alignment horizontal="center" wrapText="1"/>
    </xf>
    <xf numFmtId="1" fontId="0" fillId="0" borderId="0" xfId="0" applyNumberFormat="1" applyAlignment="1">
      <alignment horizontal="center" vertical="center" wrapText="1"/>
    </xf>
    <xf numFmtId="1" fontId="0" fillId="0" borderId="0" xfId="0" applyNumberFormat="1" applyAlignment="1">
      <alignment vertical="center" wrapText="1"/>
    </xf>
    <xf numFmtId="0" fontId="30" fillId="0" borderId="1" xfId="0" quotePrefix="1" applyFont="1" applyBorder="1" applyAlignment="1">
      <alignment horizontal="center" vertical="center" wrapText="1"/>
    </xf>
    <xf numFmtId="0" fontId="30" fillId="4" borderId="1" xfId="0" quotePrefix="1" applyFont="1" applyFill="1" applyBorder="1" applyAlignment="1">
      <alignment horizontal="center" vertical="center" wrapText="1"/>
    </xf>
    <xf numFmtId="14" fontId="0" fillId="0" borderId="0" xfId="0" applyNumberFormat="1" applyAlignment="1">
      <alignment horizontal="right"/>
    </xf>
    <xf numFmtId="0" fontId="0" fillId="0" borderId="0" xfId="0" applyAlignment="1">
      <alignment horizontal="center" wrapText="1"/>
    </xf>
    <xf numFmtId="0" fontId="29" fillId="0" borderId="1" xfId="0" applyFont="1" applyBorder="1" applyAlignment="1">
      <alignment horizontal="center" vertical="center" wrapText="1"/>
    </xf>
    <xf numFmtId="0" fontId="2" fillId="3" borderId="2" xfId="0" applyFont="1" applyFill="1" applyBorder="1" applyAlignment="1">
      <alignment horizontal="center" vertical="center" wrapText="1"/>
    </xf>
    <xf numFmtId="1" fontId="0" fillId="0" borderId="22" xfId="0" applyNumberFormat="1" applyBorder="1" applyAlignment="1">
      <alignment horizontal="center" vertical="center" wrapText="1"/>
    </xf>
    <xf numFmtId="0" fontId="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12" fillId="0" borderId="1" xfId="0" applyFont="1" applyBorder="1" applyAlignment="1">
      <alignment horizontal="center" vertical="center" wrapText="1"/>
    </xf>
    <xf numFmtId="0" fontId="0" fillId="4" borderId="1" xfId="0" applyFill="1" applyBorder="1" applyAlignment="1">
      <alignment horizontal="center" wrapText="1"/>
    </xf>
    <xf numFmtId="0" fontId="21" fillId="0" borderId="1" xfId="0" applyFont="1" applyBorder="1" applyAlignment="1">
      <alignment horizontal="center" vertical="center" wrapText="1"/>
    </xf>
    <xf numFmtId="0" fontId="18" fillId="0" borderId="1" xfId="0" applyFont="1" applyBorder="1" applyAlignment="1">
      <alignment horizontal="center" vertical="center" wrapText="1"/>
    </xf>
    <xf numFmtId="0" fontId="23" fillId="0" borderId="1" xfId="0" applyFont="1" applyBorder="1" applyAlignment="1">
      <alignment horizontal="center" vertical="center" wrapText="1"/>
    </xf>
    <xf numFmtId="165" fontId="5" fillId="0" borderId="1" xfId="0" applyNumberFormat="1" applyFont="1" applyBorder="1" applyAlignment="1">
      <alignment horizontal="center" vertical="center" wrapText="1"/>
    </xf>
    <xf numFmtId="1" fontId="5" fillId="0" borderId="1" xfId="0" applyNumberFormat="1" applyFont="1" applyBorder="1" applyAlignment="1">
      <alignment horizontal="center" vertical="center" wrapText="1"/>
    </xf>
    <xf numFmtId="1" fontId="33" fillId="0" borderId="1" xfId="3" applyNumberFormat="1" applyFont="1" applyFill="1" applyBorder="1" applyAlignment="1">
      <alignment horizontal="center" vertical="center" wrapText="1"/>
    </xf>
    <xf numFmtId="1" fontId="5" fillId="0" borderId="0" xfId="0" applyNumberFormat="1" applyFont="1" applyAlignment="1">
      <alignment horizontal="left" vertical="center" wrapText="1"/>
    </xf>
    <xf numFmtId="0" fontId="5" fillId="0" borderId="0" xfId="0" applyFont="1" applyAlignment="1">
      <alignment horizontal="left" vertical="center" wrapText="1"/>
    </xf>
    <xf numFmtId="49" fontId="5" fillId="0" borderId="0" xfId="0" applyNumberFormat="1" applyFont="1" applyAlignment="1">
      <alignment horizontal="left" vertical="center" wrapText="1"/>
    </xf>
    <xf numFmtId="0" fontId="5" fillId="0" borderId="4" xfId="0" applyFont="1" applyBorder="1" applyAlignment="1">
      <alignment horizontal="center" vertical="center" wrapText="1"/>
    </xf>
    <xf numFmtId="0" fontId="0" fillId="0" borderId="0" xfId="0" applyAlignment="1">
      <alignment vertical="center" wrapText="1"/>
    </xf>
    <xf numFmtId="0" fontId="5" fillId="0" borderId="0" xfId="0" applyFont="1" applyAlignment="1">
      <alignment vertical="center" wrapText="1"/>
    </xf>
    <xf numFmtId="1" fontId="0" fillId="0" borderId="2" xfId="0" applyNumberFormat="1" applyBorder="1" applyAlignment="1">
      <alignment horizontal="center" vertical="center" wrapText="1"/>
    </xf>
    <xf numFmtId="0" fontId="5" fillId="0" borderId="2" xfId="0" applyFont="1" applyBorder="1" applyAlignment="1">
      <alignment horizontal="center" vertical="center" wrapText="1"/>
    </xf>
    <xf numFmtId="1" fontId="0" fillId="0" borderId="1" xfId="0" applyNumberFormat="1" applyBorder="1" applyAlignment="1">
      <alignment vertical="center" wrapText="1"/>
    </xf>
    <xf numFmtId="0" fontId="0" fillId="0" borderId="23" xfId="0" applyBorder="1" applyAlignment="1">
      <alignment wrapText="1"/>
    </xf>
    <xf numFmtId="0" fontId="0" fillId="0" borderId="4" xfId="0" applyBorder="1" applyAlignment="1">
      <alignment horizontal="center" vertical="center" wrapText="1"/>
    </xf>
    <xf numFmtId="0" fontId="5" fillId="0" borderId="22" xfId="0" applyFont="1" applyBorder="1" applyAlignment="1">
      <alignment horizontal="center" vertical="center" wrapText="1"/>
    </xf>
    <xf numFmtId="1" fontId="0" fillId="0" borderId="24" xfId="0" applyNumberFormat="1" applyBorder="1" applyAlignment="1">
      <alignment horizontal="center" vertical="center" wrapText="1"/>
    </xf>
    <xf numFmtId="0" fontId="0" fillId="0" borderId="0" xfId="0" applyAlignment="1">
      <alignment horizontal="right"/>
    </xf>
    <xf numFmtId="1" fontId="5" fillId="0" borderId="2" xfId="0" applyNumberFormat="1" applyFont="1" applyBorder="1" applyAlignment="1">
      <alignment horizontal="center" vertical="center" wrapText="1"/>
    </xf>
    <xf numFmtId="0" fontId="0" fillId="0" borderId="3" xfId="0" applyBorder="1" applyAlignment="1">
      <alignment horizontal="center" vertical="center" wrapText="1"/>
    </xf>
    <xf numFmtId="1" fontId="0" fillId="0" borderId="4" xfId="0" applyNumberFormat="1" applyBorder="1" applyAlignment="1">
      <alignment horizontal="center" vertical="center" wrapText="1"/>
    </xf>
    <xf numFmtId="49" fontId="0" fillId="0" borderId="1" xfId="0" applyNumberFormat="1" applyBorder="1" applyAlignment="1">
      <alignment horizontal="center" wrapText="1"/>
    </xf>
    <xf numFmtId="2" fontId="0" fillId="0" borderId="0" xfId="0" applyNumberFormat="1" applyAlignment="1">
      <alignment horizontal="center" vertical="center" wrapText="1"/>
    </xf>
    <xf numFmtId="0" fontId="29" fillId="0" borderId="1" xfId="0" applyFont="1" applyBorder="1" applyAlignment="1">
      <alignment vertical="center" wrapText="1"/>
    </xf>
    <xf numFmtId="0" fontId="0" fillId="0" borderId="2" xfId="0" applyBorder="1" applyAlignment="1">
      <alignment horizontal="center" vertical="center"/>
    </xf>
    <xf numFmtId="0" fontId="28" fillId="0" borderId="1" xfId="0" applyFont="1" applyBorder="1" applyAlignment="1">
      <alignment horizontal="center" vertical="center"/>
    </xf>
    <xf numFmtId="0" fontId="28" fillId="0" borderId="1" xfId="0" applyFont="1"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1" xfId="0" applyBorder="1" applyAlignment="1">
      <alignment horizontal="center" vertical="center" wrapText="1"/>
    </xf>
    <xf numFmtId="0" fontId="16" fillId="0" borderId="0" xfId="0" applyFont="1"/>
    <xf numFmtId="0" fontId="0" fillId="7" borderId="20" xfId="0" applyFill="1" applyBorder="1" applyAlignment="1">
      <alignment horizontal="center" vertical="center" wrapText="1"/>
    </xf>
    <xf numFmtId="0" fontId="0" fillId="7" borderId="20" xfId="0" applyFill="1" applyBorder="1" applyAlignment="1">
      <alignment vertical="center" wrapText="1"/>
    </xf>
    <xf numFmtId="0" fontId="0" fillId="7" borderId="19" xfId="0" applyFill="1" applyBorder="1" applyAlignment="1">
      <alignment horizontal="center" vertical="center" wrapText="1"/>
    </xf>
    <xf numFmtId="0" fontId="0" fillId="4" borderId="19" xfId="0" applyFill="1" applyBorder="1" applyAlignment="1">
      <alignment horizontal="center" vertical="center" wrapText="1"/>
    </xf>
    <xf numFmtId="0" fontId="0" fillId="4" borderId="19" xfId="0" applyFill="1" applyBorder="1" applyAlignment="1">
      <alignment vertical="center" wrapText="1"/>
    </xf>
    <xf numFmtId="0" fontId="0" fillId="4" borderId="1" xfId="0" applyFill="1" applyBorder="1" applyAlignment="1">
      <alignment horizontal="center" vertical="center"/>
    </xf>
    <xf numFmtId="0" fontId="29" fillId="4" borderId="1" xfId="0" applyFont="1" applyFill="1" applyBorder="1" applyAlignment="1">
      <alignment horizontal="center" vertical="center" wrapText="1"/>
    </xf>
    <xf numFmtId="0" fontId="0" fillId="4" borderId="1" xfId="0" applyFill="1" applyBorder="1" applyAlignment="1">
      <alignment wrapText="1"/>
    </xf>
    <xf numFmtId="14" fontId="0" fillId="4" borderId="1" xfId="0" applyNumberFormat="1" applyFill="1" applyBorder="1" applyAlignment="1">
      <alignment horizontal="center" vertical="center"/>
    </xf>
    <xf numFmtId="49" fontId="0" fillId="0" borderId="2" xfId="0" applyNumberFormat="1" applyBorder="1" applyAlignment="1">
      <alignment horizontal="center" vertical="center" wrapText="1"/>
    </xf>
    <xf numFmtId="0" fontId="35" fillId="0" borderId="0" xfId="0" applyFont="1" applyAlignment="1">
      <alignment horizontal="left" wrapText="1" readingOrder="1"/>
    </xf>
    <xf numFmtId="49" fontId="19" fillId="0" borderId="8" xfId="0" applyNumberFormat="1" applyFont="1" applyBorder="1" applyAlignment="1">
      <alignment wrapText="1"/>
    </xf>
    <xf numFmtId="0" fontId="29" fillId="0" borderId="0" xfId="0" applyFont="1" applyAlignment="1">
      <alignment vertical="center" wrapText="1"/>
    </xf>
    <xf numFmtId="0" fontId="18" fillId="0" borderId="0" xfId="0" applyFont="1" applyAlignment="1">
      <alignment horizontal="left" vertical="center" wrapText="1" readingOrder="1"/>
    </xf>
    <xf numFmtId="0" fontId="29" fillId="0" borderId="2" xfId="0" applyFont="1" applyBorder="1" applyAlignment="1">
      <alignment horizontal="center" vertical="center" wrapText="1"/>
    </xf>
    <xf numFmtId="0" fontId="0" fillId="4" borderId="4" xfId="0" applyFill="1" applyBorder="1" applyAlignment="1">
      <alignment wrapText="1"/>
    </xf>
    <xf numFmtId="14" fontId="0" fillId="4" borderId="24" xfId="0" applyNumberFormat="1" applyFill="1" applyBorder="1" applyAlignment="1">
      <alignment horizontal="center" vertical="center"/>
    </xf>
    <xf numFmtId="0" fontId="0" fillId="0" borderId="10" xfId="0" applyBorder="1" applyAlignment="1">
      <alignment horizontal="center" vertical="center" wrapText="1"/>
    </xf>
    <xf numFmtId="0" fontId="21" fillId="4" borderId="1" xfId="0" applyFont="1" applyFill="1" applyBorder="1" applyAlignment="1">
      <alignment horizontal="center" vertical="center" wrapText="1"/>
    </xf>
    <xf numFmtId="0" fontId="18" fillId="0" borderId="0" xfId="0" applyFont="1"/>
    <xf numFmtId="0" fontId="0" fillId="0" borderId="25" xfId="0" applyBorder="1" applyAlignment="1">
      <alignment horizontal="center" vertical="center" wrapText="1"/>
    </xf>
    <xf numFmtId="0" fontId="0" fillId="0" borderId="27" xfId="0" applyBorder="1"/>
    <xf numFmtId="0" fontId="0" fillId="0" borderId="24" xfId="0" applyBorder="1" applyAlignment="1">
      <alignment horizontal="center" vertical="center" wrapText="1"/>
    </xf>
    <xf numFmtId="0" fontId="0" fillId="0" borderId="19" xfId="0" applyBorder="1" applyAlignment="1">
      <alignment horizontal="center" vertical="center"/>
    </xf>
    <xf numFmtId="0" fontId="0" fillId="4" borderId="6" xfId="0" applyFill="1" applyBorder="1" applyAlignment="1">
      <alignment horizontal="center" vertical="center"/>
    </xf>
    <xf numFmtId="0" fontId="0" fillId="0" borderId="29" xfId="0" applyBorder="1" applyAlignment="1">
      <alignment horizontal="center" vertical="center" wrapText="1"/>
    </xf>
    <xf numFmtId="0" fontId="0" fillId="0" borderId="30" xfId="0" applyBorder="1" applyAlignment="1">
      <alignment horizontal="center" vertical="center"/>
    </xf>
    <xf numFmtId="0" fontId="0" fillId="0" borderId="31" xfId="0" applyBorder="1" applyAlignment="1">
      <alignment horizontal="center" vertical="center" wrapText="1"/>
    </xf>
    <xf numFmtId="0" fontId="0" fillId="0" borderId="31" xfId="0" applyBorder="1" applyAlignment="1">
      <alignment horizontal="center" vertical="center"/>
    </xf>
    <xf numFmtId="0" fontId="0" fillId="0" borderId="23" xfId="0" applyBorder="1" applyAlignment="1">
      <alignment vertical="center" wrapText="1"/>
    </xf>
    <xf numFmtId="0" fontId="0" fillId="0" borderId="28" xfId="0" applyBorder="1" applyAlignment="1">
      <alignment vertical="center" wrapText="1"/>
    </xf>
    <xf numFmtId="0" fontId="0" fillId="0" borderId="32" xfId="0" applyBorder="1" applyAlignment="1">
      <alignment vertical="center" wrapText="1"/>
    </xf>
    <xf numFmtId="0" fontId="0" fillId="4" borderId="24" xfId="0" applyFill="1" applyBorder="1" applyAlignment="1">
      <alignment horizontal="center" vertical="center" wrapText="1"/>
    </xf>
    <xf numFmtId="0" fontId="0" fillId="0" borderId="26" xfId="0" applyBorder="1" applyAlignment="1">
      <alignment horizontal="center" vertical="center" wrapText="1"/>
    </xf>
    <xf numFmtId="1" fontId="5" fillId="0" borderId="33" xfId="0" applyNumberFormat="1" applyFont="1" applyBorder="1" applyAlignment="1">
      <alignment horizontal="center" vertical="center" wrapText="1"/>
    </xf>
    <xf numFmtId="0" fontId="29" fillId="0" borderId="1" xfId="0" applyFont="1" applyBorder="1" applyAlignment="1">
      <alignment horizontal="center" vertical="center"/>
    </xf>
    <xf numFmtId="0" fontId="18" fillId="0" borderId="26" xfId="0" applyFont="1" applyBorder="1"/>
    <xf numFmtId="0" fontId="1" fillId="0" borderId="1" xfId="0" applyFont="1" applyBorder="1" applyAlignment="1">
      <alignment horizontal="center" vertical="center" wrapText="1"/>
    </xf>
    <xf numFmtId="0" fontId="1" fillId="0" borderId="25" xfId="0" applyFont="1" applyBorder="1" applyAlignment="1">
      <alignment horizontal="center" vertical="center" wrapText="1"/>
    </xf>
    <xf numFmtId="0" fontId="1" fillId="0" borderId="12" xfId="0" applyFont="1" applyBorder="1" applyAlignment="1">
      <alignment horizontal="center" vertical="center" wrapText="1"/>
    </xf>
    <xf numFmtId="0" fontId="34" fillId="0" borderId="1" xfId="0" applyFont="1" applyBorder="1" applyAlignment="1">
      <alignment horizontal="center" vertical="center"/>
    </xf>
    <xf numFmtId="0" fontId="0" fillId="4" borderId="28" xfId="0" applyFill="1" applyBorder="1" applyAlignment="1">
      <alignment horizontal="center" vertical="center" wrapText="1"/>
    </xf>
    <xf numFmtId="0" fontId="34" fillId="0" borderId="26" xfId="0" applyFont="1" applyBorder="1" applyAlignment="1">
      <alignment horizontal="center" vertical="center" wrapText="1"/>
    </xf>
    <xf numFmtId="49" fontId="0" fillId="0" borderId="2" xfId="0" applyNumberFormat="1" applyBorder="1" applyAlignment="1">
      <alignment horizontal="center" vertical="center"/>
    </xf>
    <xf numFmtId="3" fontId="0" fillId="0" borderId="2" xfId="0" applyNumberFormat="1" applyBorder="1" applyAlignment="1">
      <alignment horizontal="center" vertical="center" wrapText="1"/>
    </xf>
    <xf numFmtId="0" fontId="0" fillId="0" borderId="2" xfId="0" applyBorder="1"/>
    <xf numFmtId="14" fontId="0" fillId="0" borderId="2" xfId="0" applyNumberFormat="1" applyBorder="1" applyAlignment="1">
      <alignment horizontal="center" vertical="center"/>
    </xf>
    <xf numFmtId="49" fontId="1" fillId="0" borderId="1" xfId="0" applyNumberFormat="1" applyFont="1" applyBorder="1" applyAlignment="1">
      <alignment horizontal="center" vertical="center" wrapText="1"/>
    </xf>
    <xf numFmtId="0" fontId="1" fillId="0" borderId="26" xfId="0" applyFont="1" applyBorder="1" applyAlignment="1">
      <alignment horizontal="center" vertical="center" wrapText="1"/>
    </xf>
    <xf numFmtId="0" fontId="1" fillId="0" borderId="1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20" xfId="0" applyFont="1" applyBorder="1" applyAlignment="1">
      <alignment horizontal="center" vertical="center" wrapText="1"/>
    </xf>
    <xf numFmtId="1" fontId="1" fillId="0" borderId="0" xfId="0" applyNumberFormat="1" applyFont="1" applyAlignment="1">
      <alignment horizontal="center" vertical="center" wrapText="1"/>
    </xf>
    <xf numFmtId="0" fontId="1" fillId="0" borderId="0" xfId="0" applyFont="1" applyAlignment="1">
      <alignment horizontal="center" vertical="center" wrapText="1"/>
    </xf>
    <xf numFmtId="49" fontId="0" fillId="0" borderId="20" xfId="0" applyNumberFormat="1" applyBorder="1" applyAlignment="1">
      <alignment horizontal="center" vertical="center"/>
    </xf>
    <xf numFmtId="0" fontId="0" fillId="0" borderId="20" xfId="0" applyBorder="1" applyAlignment="1">
      <alignment horizontal="center" vertical="center"/>
    </xf>
    <xf numFmtId="3" fontId="0" fillId="0" borderId="20" xfId="0" applyNumberFormat="1" applyBorder="1" applyAlignment="1">
      <alignment horizontal="center" vertical="center" wrapText="1"/>
    </xf>
    <xf numFmtId="0" fontId="0" fillId="0" borderId="10" xfId="0" applyBorder="1"/>
    <xf numFmtId="14" fontId="0" fillId="0" borderId="20" xfId="0" applyNumberFormat="1" applyBorder="1" applyAlignment="1">
      <alignment horizontal="center" vertical="center"/>
    </xf>
    <xf numFmtId="14" fontId="0" fillId="0" borderId="1" xfId="0" applyNumberFormat="1" applyBorder="1" applyAlignment="1">
      <alignment horizontal="center" vertical="center" wrapText="1"/>
    </xf>
    <xf numFmtId="49" fontId="0" fillId="0" borderId="0" xfId="0" applyNumberFormat="1" applyAlignment="1">
      <alignment horizontal="left" vertical="center" wrapText="1"/>
    </xf>
    <xf numFmtId="1" fontId="0" fillId="0" borderId="0" xfId="0" applyNumberFormat="1" applyAlignment="1">
      <alignment horizontal="left" vertical="center" wrapText="1"/>
    </xf>
    <xf numFmtId="0" fontId="29" fillId="0" borderId="0" xfId="0" applyFont="1" applyAlignment="1">
      <alignment horizontal="left" vertical="center" wrapText="1"/>
    </xf>
    <xf numFmtId="0" fontId="39"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18" fillId="0" borderId="1" xfId="0" applyFont="1" applyBorder="1" applyAlignment="1">
      <alignment horizontal="center"/>
    </xf>
    <xf numFmtId="0" fontId="0" fillId="0" borderId="0" xfId="0" applyNumberFormat="1"/>
    <xf numFmtId="164" fontId="26" fillId="4" borderId="0" xfId="0" applyNumberFormat="1" applyFont="1" applyFill="1" applyAlignment="1">
      <alignment horizontal="left" vertical="top" wrapText="1"/>
    </xf>
    <xf numFmtId="0" fontId="4" fillId="4" borderId="0" xfId="0" applyFont="1" applyFill="1" applyAlignment="1">
      <alignment horizontal="left" vertical="top" wrapText="1"/>
    </xf>
    <xf numFmtId="164" fontId="0" fillId="4" borderId="0" xfId="0" applyNumberFormat="1" applyFill="1" applyAlignment="1">
      <alignment horizontal="left" vertical="top" wrapText="1"/>
    </xf>
    <xf numFmtId="0" fontId="0" fillId="0" borderId="0" xfId="0" applyAlignment="1">
      <alignment horizontal="center" vertical="top"/>
    </xf>
    <xf numFmtId="0" fontId="8" fillId="0" borderId="0" xfId="0" applyFont="1" applyAlignment="1">
      <alignment horizontal="center"/>
    </xf>
    <xf numFmtId="0" fontId="7" fillId="2" borderId="1" xfId="0" applyFont="1" applyFill="1" applyBorder="1" applyAlignment="1">
      <alignment horizontal="center"/>
    </xf>
  </cellXfs>
  <cellStyles count="5">
    <cellStyle name="Hyperlink" xfId="1" builtinId="8" hidden="1"/>
    <cellStyle name="Hyperlink" xfId="3" builtinId="8"/>
    <cellStyle name="Normal" xfId="0" builtinId="0"/>
    <cellStyle name="Normal 2" xfId="2" xr:uid="{A526956A-0E92-4374-81BE-12DC0660DDAB}"/>
    <cellStyle name="Normal 3" xfId="4" xr:uid="{F279F860-9A70-415D-B960-5078DB9E3F9B}"/>
  </cellStyles>
  <dxfs count="10">
    <dxf>
      <fill>
        <patternFill>
          <bgColor theme="9" tint="0.79998168889431442"/>
        </patternFill>
      </fill>
    </dxf>
    <dxf>
      <fill>
        <patternFill>
          <bgColor theme="9" tint="0.79998168889431442"/>
        </patternFill>
      </fill>
    </dxf>
    <dxf>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numFmt numFmtId="30" formatCode="@"/>
      <fill>
        <patternFill patternType="none">
          <fgColor indexed="64"/>
          <bgColor indexed="65"/>
        </patternFill>
      </fill>
      <alignment horizontal="center" vertical="center" textRotation="0" wrapText="1" indent="0" justifyLastLine="0" shrinkToFit="0" readingOrder="0"/>
    </dxf>
    <dxf>
      <alignment horizontal="center" textRotation="0" wrapText="1" indent="0" justifyLastLine="0" shrinkToFit="0" readingOrder="0"/>
    </dxf>
    <dxf>
      <alignment horizontal="center" textRotation="0" wrapText="1" indent="0" justifyLastLine="0" shrinkToFit="0" readingOrder="0"/>
    </dxf>
  </dxfs>
  <tableStyles count="0" defaultTableStyle="TableStyleMedium2" defaultPivotStyle="PivotStyleLight16"/>
  <colors>
    <mruColors>
      <color rgb="FFCCCCFF"/>
      <color rgb="FF92CFCF"/>
      <color rgb="FF009999"/>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400" b="1">
                <a:effectLst/>
              </a:rPr>
              <a:t>Updates</a:t>
            </a:r>
            <a:r>
              <a:rPr lang="en-GB" sz="1400" b="1" baseline="0">
                <a:effectLst/>
              </a:rPr>
              <a:t> to this KEL</a:t>
            </a:r>
            <a:endParaRPr lang="en-GB"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GB"/>
        </a:p>
      </c:txPr>
    </c:title>
    <c:autoTitleDeleted val="0"/>
    <c:plotArea>
      <c:layout/>
      <c:barChart>
        <c:barDir val="col"/>
        <c:grouping val="clustered"/>
        <c:varyColors val="0"/>
        <c:ser>
          <c:idx val="0"/>
          <c:order val="0"/>
          <c:spPr>
            <a:solidFill>
              <a:srgbClr val="009999"/>
            </a:solidFill>
            <a:ln>
              <a:noFill/>
            </a:ln>
            <a:effectLst/>
          </c:spPr>
          <c:invertIfNegative val="0"/>
          <c:cat>
            <c:strRef>
              <c:f>Data!$D$10:$D$14</c:f>
              <c:strCache>
                <c:ptCount val="5"/>
                <c:pt idx="0">
                  <c:v>Reopened KEL</c:v>
                </c:pt>
                <c:pt idx="1">
                  <c:v>Revised KEL</c:v>
                </c:pt>
                <c:pt idx="2">
                  <c:v>Revised Fix Version</c:v>
                </c:pt>
                <c:pt idx="3">
                  <c:v>New KELs and CRs</c:v>
                </c:pt>
                <c:pt idx="4">
                  <c:v>Resolved and Closed KELs and CRs</c:v>
                </c:pt>
              </c:strCache>
            </c:strRef>
          </c:cat>
          <c:val>
            <c:numRef>
              <c:f>Data!$E$10:$E$14</c:f>
              <c:numCache>
                <c:formatCode>General</c:formatCode>
                <c:ptCount val="5"/>
                <c:pt idx="0">
                  <c:v>0</c:v>
                </c:pt>
                <c:pt idx="1">
                  <c:v>0</c:v>
                </c:pt>
                <c:pt idx="2">
                  <c:v>1</c:v>
                </c:pt>
                <c:pt idx="3">
                  <c:v>0</c:v>
                </c:pt>
                <c:pt idx="4">
                  <c:v>1</c:v>
                </c:pt>
              </c:numCache>
            </c:numRef>
          </c:val>
          <c:extLst>
            <c:ext xmlns:c16="http://schemas.microsoft.com/office/drawing/2014/chart" uri="{C3380CC4-5D6E-409C-BE32-E72D297353CC}">
              <c16:uniqueId val="{00000000-81CF-4F2B-8C00-625239AB6C2F}"/>
            </c:ext>
          </c:extLst>
        </c:ser>
        <c:dLbls>
          <c:showLegendKey val="0"/>
          <c:showVal val="0"/>
          <c:showCatName val="0"/>
          <c:showSerName val="0"/>
          <c:showPercent val="0"/>
          <c:showBubbleSize val="0"/>
        </c:dLbls>
        <c:gapWidth val="75"/>
        <c:overlap val="-25"/>
        <c:axId val="513507368"/>
        <c:axId val="513505800"/>
      </c:barChart>
      <c:catAx>
        <c:axId val="513507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1" i="0" u="none" strike="noStrike" kern="1200" baseline="0">
                <a:solidFill>
                  <a:schemeClr val="tx1">
                    <a:lumMod val="65000"/>
                    <a:lumOff val="35000"/>
                  </a:schemeClr>
                </a:solidFill>
                <a:latin typeface="+mn-lt"/>
                <a:ea typeface="+mn-ea"/>
                <a:cs typeface="+mn-cs"/>
              </a:defRPr>
            </a:pPr>
            <a:endParaRPr lang="en-US"/>
          </a:p>
        </c:txPr>
        <c:crossAx val="513505800"/>
        <c:crosses val="autoZero"/>
        <c:auto val="0"/>
        <c:lblAlgn val="ctr"/>
        <c:lblOffset val="100"/>
        <c:noMultiLvlLbl val="0"/>
      </c:catAx>
      <c:valAx>
        <c:axId val="513505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07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[CDS_Trade_Test_KEL_20260521.xlsm]Data!PivotTable1</c:name>
    <c:fmtId val="1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KEL Classification Overview</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rgbClr val="7030A0"/>
          </a:solidFill>
          <a:ln w="19050">
            <a:solidFill>
              <a:schemeClr val="lt1"/>
            </a:solidFill>
          </a:ln>
          <a:effectLst/>
        </c:spPr>
      </c:pivotFmt>
      <c:pivotFmt>
        <c:idx val="10"/>
        <c:spPr>
          <a:solidFill>
            <a:srgbClr val="CCCCFF"/>
          </a:solidFill>
          <a:ln w="19050">
            <a:solidFill>
              <a:schemeClr val="lt1"/>
            </a:solidFill>
          </a:ln>
          <a:effectLst/>
        </c:spPr>
      </c:pivotFmt>
      <c:pivotFmt>
        <c:idx val="11"/>
        <c:spPr>
          <a:solidFill>
            <a:srgbClr val="009999"/>
          </a:solidFill>
          <a:ln w="19050">
            <a:solidFill>
              <a:schemeClr val="lt1"/>
            </a:solidFill>
          </a:ln>
          <a:effectLst/>
        </c:spPr>
      </c:pivotFmt>
      <c:pivotFmt>
        <c:idx val="12"/>
        <c:spPr>
          <a:solidFill>
            <a:srgbClr val="92CFCF"/>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A8A4"/>
          </a:solidFill>
          <a:ln w="19050">
            <a:solidFill>
              <a:schemeClr val="lt1"/>
            </a:solidFill>
          </a:ln>
          <a:effectLst/>
        </c:spPr>
      </c:pivotFmt>
      <c:pivotFmt>
        <c:idx val="15"/>
        <c:spPr>
          <a:solidFill>
            <a:srgbClr val="7030A0"/>
          </a:solidFill>
          <a:ln w="19050">
            <a:solidFill>
              <a:schemeClr val="lt1"/>
            </a:solidFill>
          </a:ln>
          <a:effectLst/>
        </c:spPr>
      </c:pivotFmt>
      <c:pivotFmt>
        <c:idx val="16"/>
        <c:spPr>
          <a:solidFill>
            <a:srgbClr val="CCCCFF"/>
          </a:solidFill>
          <a:ln w="19050">
            <a:solidFill>
              <a:schemeClr val="lt1"/>
            </a:solidFill>
          </a:ln>
          <a:effectLst/>
        </c:spPr>
      </c:pivotFmt>
      <c:pivotFmt>
        <c:idx val="17"/>
        <c:spPr>
          <a:solidFill>
            <a:srgbClr val="92CFCF"/>
          </a:solidFill>
          <a:ln w="19050">
            <a:solidFill>
              <a:schemeClr val="lt1"/>
            </a:solidFill>
          </a:ln>
          <a:effectLst/>
        </c:spPr>
      </c:pivotFmt>
      <c:pivotFmt>
        <c:idx val="18"/>
        <c:spPr>
          <a:solidFill>
            <a:schemeClr val="accent5">
              <a:lumMod val="75000"/>
            </a:schemeClr>
          </a:solidFill>
          <a:ln w="19050">
            <a:solidFill>
              <a:schemeClr val="lt1"/>
            </a:solidFill>
          </a:ln>
          <a:effectLst/>
        </c:spPr>
      </c:pivotFmt>
      <c:pivotFmt>
        <c:idx val="19"/>
        <c:spPr>
          <a:solidFill>
            <a:srgbClr val="CCCCFF"/>
          </a:solidFill>
          <a:ln w="19050">
            <a:solidFill>
              <a:schemeClr val="lt1"/>
            </a:solidFill>
          </a:ln>
          <a:effectLst/>
        </c:spPr>
      </c:pivotFmt>
      <c:pivotFmt>
        <c:idx val="20"/>
        <c:spPr>
          <a:solidFill>
            <a:schemeClr val="bg1">
              <a:lumMod val="50000"/>
            </a:schemeClr>
          </a:solidFill>
          <a:ln w="19050">
            <a:solidFill>
              <a:schemeClr val="lt1"/>
            </a:solidFill>
          </a:ln>
          <a:effectLst/>
        </c:spPr>
      </c:pivotFmt>
      <c:pivotFmt>
        <c:idx val="21"/>
        <c:spPr>
          <a:solidFill>
            <a:srgbClr val="008080"/>
          </a:solidFill>
          <a:ln w="19050">
            <a:solidFill>
              <a:schemeClr val="lt1"/>
            </a:solidFill>
          </a:ln>
          <a:effectLst/>
        </c:spPr>
      </c:pivotFmt>
      <c:pivotFmt>
        <c:idx val="22"/>
        <c:spPr>
          <a:solidFill>
            <a:schemeClr val="accent1">
              <a:lumMod val="60000"/>
              <a:lumOff val="40000"/>
            </a:schemeClr>
          </a:solidFill>
          <a:ln w="19050">
            <a:solidFill>
              <a:schemeClr val="lt1"/>
            </a:solidFill>
          </a:ln>
          <a:effectLst/>
        </c:spPr>
      </c:pivotFmt>
      <c:pivotFmt>
        <c:idx val="23"/>
        <c:spPr>
          <a:solidFill>
            <a:srgbClr val="92CFCF"/>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7030A0"/>
          </a:solidFill>
          <a:ln w="19050">
            <a:solidFill>
              <a:schemeClr val="lt1"/>
            </a:solidFill>
          </a:ln>
          <a:effectLst/>
        </c:spPr>
      </c:pivotFmt>
      <c:pivotFmt>
        <c:idx val="27"/>
        <c:spPr>
          <a:solidFill>
            <a:srgbClr val="00A8A4"/>
          </a:solidFill>
          <a:ln w="19050">
            <a:solidFill>
              <a:schemeClr val="lt1"/>
            </a:solidFill>
          </a:ln>
          <a:effectLst/>
        </c:spPr>
      </c:pivotFmt>
      <c:pivotFmt>
        <c:idx val="28"/>
        <c:spPr>
          <a:solidFill>
            <a:schemeClr val="accent1">
              <a:lumMod val="60000"/>
              <a:lumOff val="40000"/>
            </a:schemeClr>
          </a:solidFill>
          <a:ln w="19050">
            <a:solidFill>
              <a:schemeClr val="lt1"/>
            </a:solidFill>
          </a:ln>
          <a:effectLst/>
        </c:spPr>
      </c:pivotFmt>
      <c:pivotFmt>
        <c:idx val="29"/>
        <c:spPr>
          <a:solidFill>
            <a:schemeClr val="accent5">
              <a:lumMod val="75000"/>
            </a:schemeClr>
          </a:solidFill>
          <a:ln w="19050">
            <a:solidFill>
              <a:schemeClr val="lt1"/>
            </a:solidFill>
          </a:ln>
          <a:effectLst/>
        </c:spPr>
      </c:pivotFmt>
      <c:pivotFmt>
        <c:idx val="30"/>
        <c:spPr>
          <a:solidFill>
            <a:srgbClr val="CCCCFF"/>
          </a:solidFill>
          <a:ln w="19050">
            <a:solidFill>
              <a:schemeClr val="lt1"/>
            </a:solidFill>
          </a:ln>
          <a:effectLst/>
        </c:spPr>
      </c:pivotFmt>
      <c:pivotFmt>
        <c:idx val="31"/>
        <c:spPr>
          <a:solidFill>
            <a:schemeClr val="bg1">
              <a:lumMod val="50000"/>
            </a:schemeClr>
          </a:solidFill>
          <a:ln w="19050">
            <a:solidFill>
              <a:schemeClr val="lt1"/>
            </a:solidFill>
          </a:ln>
          <a:effectLst/>
        </c:spPr>
      </c:pivotFmt>
      <c:pivotFmt>
        <c:idx val="32"/>
        <c:spPr>
          <a:solidFill>
            <a:srgbClr val="008080"/>
          </a:solidFill>
          <a:ln w="19050">
            <a:solidFill>
              <a:schemeClr val="lt1"/>
            </a:solidFill>
          </a:ln>
          <a:effectLst/>
        </c:spPr>
      </c:pivotFmt>
      <c:pivotFmt>
        <c:idx val="33"/>
        <c:spPr>
          <a:solidFill>
            <a:srgbClr val="92CFCF"/>
          </a:solidFill>
          <a:ln w="19050">
            <a:solidFill>
              <a:schemeClr val="lt1"/>
            </a:solidFill>
          </a:ln>
          <a:effectLst/>
        </c:spPr>
      </c:pivotFmt>
      <c:pivotFmt>
        <c:idx val="34"/>
        <c:spPr>
          <a:solidFill>
            <a:schemeClr val="accent1"/>
          </a:solidFill>
          <a:ln w="19050">
            <a:solidFill>
              <a:schemeClr val="lt1"/>
            </a:solidFill>
          </a:ln>
          <a:effectLst/>
        </c:spPr>
      </c:pivotFmt>
    </c:pivotFmts>
    <c:plotArea>
      <c:layout>
        <c:manualLayout>
          <c:layoutTarget val="inner"/>
          <c:xMode val="edge"/>
          <c:yMode val="edge"/>
          <c:x val="0.13170443877820937"/>
          <c:y val="0.10286117499217698"/>
          <c:w val="0.86829556122179063"/>
          <c:h val="0.50688301238271682"/>
        </c:manualLayout>
      </c:layout>
      <c:barChart>
        <c:barDir val="col"/>
        <c:grouping val="clustered"/>
        <c:varyColors val="0"/>
        <c:ser>
          <c:idx val="0"/>
          <c:order val="0"/>
          <c:tx>
            <c:strRef>
              <c:f>Data!$I$17</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rgbClr val="00A8A4"/>
              </a:solidFill>
              <a:ln w="19050">
                <a:solidFill>
                  <a:schemeClr val="lt1"/>
                </a:solidFill>
              </a:ln>
              <a:effectLst/>
            </c:spPr>
            <c:extLst>
              <c:ext xmlns:c16="http://schemas.microsoft.com/office/drawing/2014/chart" uri="{C3380CC4-5D6E-409C-BE32-E72D297353CC}">
                <c16:uniqueId val="{00000001-C78B-48FE-936D-35D9DB936369}"/>
              </c:ext>
            </c:extLst>
          </c:dPt>
          <c:dPt>
            <c:idx val="1"/>
            <c:invertIfNegative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C78B-48FE-936D-35D9DB936369}"/>
              </c:ext>
            </c:extLst>
          </c:dPt>
          <c:dPt>
            <c:idx val="2"/>
            <c:invertIfNegative val="0"/>
            <c:bubble3D val="0"/>
            <c:spPr>
              <a:solidFill>
                <a:srgbClr val="CCCCFF"/>
              </a:solidFill>
              <a:ln w="19050">
                <a:solidFill>
                  <a:schemeClr val="lt1"/>
                </a:solidFill>
              </a:ln>
              <a:effectLst/>
            </c:spPr>
            <c:extLst>
              <c:ext xmlns:c16="http://schemas.microsoft.com/office/drawing/2014/chart" uri="{C3380CC4-5D6E-409C-BE32-E72D297353CC}">
                <c16:uniqueId val="{00000005-C78B-48FE-936D-35D9DB936369}"/>
              </c:ext>
            </c:extLst>
          </c:dPt>
          <c:dPt>
            <c:idx val="3"/>
            <c:invertIfNegative val="0"/>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C78B-48FE-936D-35D9DB936369}"/>
              </c:ext>
            </c:extLst>
          </c:dPt>
          <c:dPt>
            <c:idx val="4"/>
            <c:invertIfNegative val="0"/>
            <c:bubble3D val="0"/>
            <c:spPr>
              <a:solidFill>
                <a:srgbClr val="008080"/>
              </a:solidFill>
              <a:ln w="19050">
                <a:solidFill>
                  <a:schemeClr val="lt1"/>
                </a:solidFill>
              </a:ln>
              <a:effectLst/>
            </c:spPr>
            <c:extLst>
              <c:ext xmlns:c16="http://schemas.microsoft.com/office/drawing/2014/chart" uri="{C3380CC4-5D6E-409C-BE32-E72D297353CC}">
                <c16:uniqueId val="{00000009-BB05-427E-9536-C439C84950CD}"/>
              </c:ext>
            </c:extLst>
          </c:dPt>
          <c:dPt>
            <c:idx val="5"/>
            <c:invertIfNegative val="0"/>
            <c:bubble3D val="0"/>
            <c:spPr>
              <a:solidFill>
                <a:srgbClr val="92CFCF"/>
              </a:solidFill>
              <a:ln w="19050">
                <a:solidFill>
                  <a:schemeClr val="lt1"/>
                </a:solidFill>
              </a:ln>
              <a:effectLst/>
            </c:spPr>
            <c:extLst>
              <c:ext xmlns:c16="http://schemas.microsoft.com/office/drawing/2014/chart" uri="{C3380CC4-5D6E-409C-BE32-E72D297353CC}">
                <c16:uniqueId val="{0000000A-BB05-427E-9536-C439C84950CD}"/>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BB05-427E-9536-C439C84950CD}"/>
              </c:ext>
            </c:extLst>
          </c:dPt>
          <c:dPt>
            <c:idx val="7"/>
            <c:invertIfNegative val="0"/>
            <c:bubble3D val="0"/>
            <c:extLst>
              <c:ext xmlns:c16="http://schemas.microsoft.com/office/drawing/2014/chart" uri="{C3380CC4-5D6E-409C-BE32-E72D297353CC}">
                <c16:uniqueId val="{0000000C-BB05-427E-9536-C439C84950CD}"/>
              </c:ext>
            </c:extLst>
          </c:dPt>
          <c:dPt>
            <c:idx val="8"/>
            <c:invertIfNegative val="0"/>
            <c:bubble3D val="0"/>
            <c:extLst>
              <c:ext xmlns:c16="http://schemas.microsoft.com/office/drawing/2014/chart" uri="{C3380CC4-5D6E-409C-BE32-E72D297353CC}">
                <c16:uniqueId val="{0000000D-BB05-427E-9536-C439C84950CD}"/>
              </c:ext>
            </c:extLst>
          </c:dPt>
          <c:cat>
            <c:strRef>
              <c:f>Data!$H$18:$H$27</c:f>
              <c:strCache>
                <c:ptCount val="10"/>
                <c:pt idx="0">
                  <c:v>Pointers / Notification Messages</c:v>
                </c:pt>
                <c:pt idx="1">
                  <c:v>Exports</c:v>
                </c:pt>
                <c:pt idx="2">
                  <c:v>Processing Failure</c:v>
                </c:pt>
                <c:pt idx="3">
                  <c:v>Calculation</c:v>
                </c:pt>
                <c:pt idx="4">
                  <c:v>REJ instead of ACC</c:v>
                </c:pt>
                <c:pt idx="5">
                  <c:v>Amendment</c:v>
                </c:pt>
                <c:pt idx="6">
                  <c:v>Measures</c:v>
                </c:pt>
                <c:pt idx="7">
                  <c:v>ACC instead of REG</c:v>
                </c:pt>
                <c:pt idx="8">
                  <c:v>Inventory Linking</c:v>
                </c:pt>
                <c:pt idx="9">
                  <c:v>Financial Statements</c:v>
                </c:pt>
              </c:strCache>
            </c:strRef>
          </c:cat>
          <c:val>
            <c:numRef>
              <c:f>Data!$I$18:$I$27</c:f>
              <c:numCache>
                <c:formatCode>General</c:formatCode>
                <c:ptCount val="10"/>
                <c:pt idx="0">
                  <c:v>6</c:v>
                </c:pt>
                <c:pt idx="1">
                  <c:v>3</c:v>
                </c:pt>
                <c:pt idx="2">
                  <c:v>7</c:v>
                </c:pt>
                <c:pt idx="3">
                  <c:v>6</c:v>
                </c:pt>
                <c:pt idx="4">
                  <c:v>2</c:v>
                </c:pt>
                <c:pt idx="5">
                  <c:v>2</c:v>
                </c:pt>
                <c:pt idx="6">
                  <c:v>3</c:v>
                </c:pt>
                <c:pt idx="7">
                  <c:v>2</c:v>
                </c:pt>
                <c:pt idx="8">
                  <c:v>3</c:v>
                </c:pt>
                <c:pt idx="9">
                  <c:v>1</c:v>
                </c:pt>
              </c:numCache>
            </c:numRef>
          </c:val>
          <c:extLst>
            <c:ext xmlns:c16="http://schemas.microsoft.com/office/drawing/2014/chart" uri="{C3380CC4-5D6E-409C-BE32-E72D297353CC}">
              <c16:uniqueId val="{00000008-C78B-48FE-936D-35D9DB936369}"/>
            </c:ext>
          </c:extLst>
        </c:ser>
        <c:dLbls>
          <c:showLegendKey val="0"/>
          <c:showVal val="0"/>
          <c:showCatName val="0"/>
          <c:showSerName val="0"/>
          <c:showPercent val="0"/>
          <c:showBubbleSize val="0"/>
        </c:dLbls>
        <c:gapWidth val="100"/>
        <c:axId val="159046319"/>
        <c:axId val="159051239"/>
      </c:barChart>
      <c:catAx>
        <c:axId val="1590463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51239"/>
        <c:crosses val="autoZero"/>
        <c:auto val="1"/>
        <c:lblAlgn val="ctr"/>
        <c:lblOffset val="100"/>
        <c:noMultiLvlLbl val="0"/>
      </c:catAx>
      <c:valAx>
        <c:axId val="159051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463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External_20251002!A1"/><Relationship Id="rId7" Type="http://schemas.openxmlformats.org/officeDocument/2006/relationships/image" Target="../media/image1.jpeg"/><Relationship Id="rId2" Type="http://schemas.openxmlformats.org/officeDocument/2006/relationships/hyperlink" Target="#'3. Change Requests'!A1"/><Relationship Id="rId1" Type="http://schemas.openxmlformats.org/officeDocument/2006/relationships/hyperlink" Target="#'1. Changelog'!A1"/><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hyperlink" Target="#'4. Resolved &amp; Closed KELs &amp; CRs'!A1"/></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149678</xdr:colOff>
      <xdr:row>1</xdr:row>
      <xdr:rowOff>88446</xdr:rowOff>
    </xdr:from>
    <xdr:ext cx="8221225" cy="468013"/>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92554" y="238125"/>
          <a:ext cx="8221225"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400" b="1"/>
            <a:t>CDS</a:t>
          </a:r>
          <a:r>
            <a:rPr lang="en-GB" sz="2400" b="1" baseline="0"/>
            <a:t> Trade Test: External Known Error Log and Change Requests</a:t>
          </a:r>
          <a:endParaRPr lang="en-GB" sz="2400" b="1"/>
        </a:p>
      </xdr:txBody>
    </xdr:sp>
    <xdr:clientData/>
  </xdr:oneCellAnchor>
  <xdr:oneCellAnchor>
    <xdr:from>
      <xdr:col>1</xdr:col>
      <xdr:colOff>183690</xdr:colOff>
      <xdr:row>3</xdr:row>
      <xdr:rowOff>131306</xdr:rowOff>
    </xdr:from>
    <xdr:ext cx="15668632" cy="79675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19761" y="661985"/>
          <a:ext cx="15668632" cy="796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l" defTabSz="914400" rtl="0" eaLnBrk="1" fontAlgn="auto" latinLnBrk="0" hangingPunct="1">
            <a:lnSpc>
              <a:spcPct val="100000"/>
            </a:lnSpc>
            <a:spcBef>
              <a:spcPts val="0"/>
            </a:spcBef>
            <a:spcAft>
              <a:spcPts val="0"/>
            </a:spcAft>
            <a:buClrTx/>
            <a:buSzTx/>
            <a:buFont typeface="Arial" panose="020B0604020202020204" pitchFamily="34" charset="0"/>
            <a:buNone/>
            <a:tabLst/>
            <a:defRPr/>
          </a:pPr>
          <a:r>
            <a:rPr kumimoji="0" lang="en-GB" sz="1400" b="0" i="0" u="none" strike="noStrike" kern="1200" cap="none" spc="0" normalizeH="0" baseline="0" noProof="0" dirty="0">
              <a:ln>
                <a:noFill/>
              </a:ln>
              <a:solidFill>
                <a:prstClr val="black"/>
              </a:solidFill>
              <a:effectLst/>
              <a:uLnTx/>
              <a:uFillTx/>
              <a:latin typeface="+mn-lt"/>
              <a:ea typeface="+mn-ea"/>
              <a:cs typeface="+mn-cs"/>
            </a:rPr>
            <a:t>The External KEL covers all known defects with an externally facing impact that have been identified against a particular release candidate. This document details the status, impact and next steps for all KELs, and should be referenced when testing any scenarios that could be impacted by these known errors.</a:t>
          </a:r>
        </a:p>
        <a:p>
          <a:pPr marL="0" marR="0" lvl="0" indent="0" algn="l" defTabSz="914400" rtl="0" eaLnBrk="1" fontAlgn="auto" latinLnBrk="0" hangingPunct="1">
            <a:lnSpc>
              <a:spcPct val="100000"/>
            </a:lnSpc>
            <a:spcBef>
              <a:spcPts val="0"/>
            </a:spcBef>
            <a:spcAft>
              <a:spcPts val="0"/>
            </a:spcAft>
            <a:buClrTx/>
            <a:buSzTx/>
            <a:buFont typeface="Arial" panose="020B0604020202020204" pitchFamily="34" charset="0"/>
            <a:buNone/>
            <a:tabLst/>
            <a:defRPr/>
          </a:pPr>
          <a:endParaRPr kumimoji="0" lang="en-GB" sz="300" b="0" i="0" u="none" strike="noStrike" kern="1200" cap="none" spc="0" normalizeH="0" baseline="0" noProof="0" dirty="0">
            <a:ln>
              <a:noFill/>
            </a:ln>
            <a:solidFill>
              <a:prstClr val="black"/>
            </a:solidFill>
            <a:effectLst/>
            <a:uLnTx/>
            <a:uFillTx/>
            <a:latin typeface="+mn-lt"/>
            <a:ea typeface="+mn-ea"/>
            <a:cs typeface="+mn-cs"/>
          </a:endParaRPr>
        </a:p>
        <a:p>
          <a:r>
            <a:rPr lang="en-GB" sz="1400" b="1" baseline="0"/>
            <a:t>Navigating this document:</a:t>
          </a:r>
          <a:endParaRPr lang="en-GB" sz="1400" b="1"/>
        </a:p>
      </xdr:txBody>
    </xdr:sp>
    <xdr:clientData/>
  </xdr:oneCellAnchor>
  <xdr:twoCellAnchor>
    <xdr:from>
      <xdr:col>1</xdr:col>
      <xdr:colOff>330765</xdr:colOff>
      <xdr:row>4</xdr:row>
      <xdr:rowOff>768692</xdr:rowOff>
    </xdr:from>
    <xdr:to>
      <xdr:col>4</xdr:col>
      <xdr:colOff>177740</xdr:colOff>
      <xdr:row>4</xdr:row>
      <xdr:rowOff>2045039</xdr:rowOff>
    </xdr:to>
    <xdr:sp macro="" textlink="">
      <xdr:nvSpPr>
        <xdr:cNvPr id="17" name="Rectangle 16">
          <a:hlinkClick xmlns:r="http://schemas.openxmlformats.org/officeDocument/2006/relationships" r:id="rId1"/>
          <a:extLst>
            <a:ext uri="{FF2B5EF4-FFF2-40B4-BE49-F238E27FC236}">
              <a16:creationId xmlns:a16="http://schemas.microsoft.com/office/drawing/2014/main" id="{00000000-0008-0000-0000-000011000000}"/>
            </a:ext>
          </a:extLst>
        </xdr:cNvPr>
        <xdr:cNvSpPr/>
      </xdr:nvSpPr>
      <xdr:spPr>
        <a:xfrm>
          <a:off x="461734" y="1483067"/>
          <a:ext cx="1704350" cy="1276347"/>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algn="l"/>
          <a:r>
            <a:rPr lang="en-GB" sz="1300" b="1">
              <a:solidFill>
                <a:schemeClr val="tx1"/>
              </a:solidFill>
            </a:rPr>
            <a:t>1. Change</a:t>
          </a:r>
          <a:r>
            <a:rPr lang="en-GB" sz="1300" b="1" baseline="0">
              <a:solidFill>
                <a:schemeClr val="tx1"/>
              </a:solidFill>
            </a:rPr>
            <a:t> L</a:t>
          </a:r>
          <a:r>
            <a:rPr lang="en-GB" sz="1300" b="1">
              <a:solidFill>
                <a:schemeClr val="tx1"/>
              </a:solidFill>
            </a:rPr>
            <a:t>og</a:t>
          </a:r>
        </a:p>
        <a:p>
          <a:pPr algn="l"/>
          <a:r>
            <a:rPr lang="en-GB" sz="1300" i="1">
              <a:solidFill>
                <a:schemeClr val="tx1"/>
              </a:solidFill>
            </a:rPr>
            <a:t>Read</a:t>
          </a:r>
          <a:r>
            <a:rPr lang="en-GB" sz="1300" i="1" baseline="0">
              <a:solidFill>
                <a:schemeClr val="tx1"/>
              </a:solidFill>
            </a:rPr>
            <a:t> this tab for:</a:t>
          </a:r>
        </a:p>
        <a:p>
          <a:pPr algn="l"/>
          <a:r>
            <a:rPr lang="en-GB" sz="1300" baseline="0">
              <a:solidFill>
                <a:schemeClr val="tx1"/>
              </a:solidFill>
            </a:rPr>
            <a:t>- A h</a:t>
          </a:r>
          <a:r>
            <a:rPr lang="en-GB" sz="1300">
              <a:solidFill>
                <a:schemeClr val="tx1"/>
              </a:solidFill>
            </a:rPr>
            <a:t>istoric overview of</a:t>
          </a:r>
          <a:r>
            <a:rPr lang="en-GB" sz="1300" baseline="0">
              <a:solidFill>
                <a:schemeClr val="tx1"/>
              </a:solidFill>
            </a:rPr>
            <a:t> all updates made to the external KEL</a:t>
          </a:r>
          <a:endParaRPr lang="en-GB" sz="1300">
            <a:solidFill>
              <a:schemeClr val="tx1"/>
            </a:solidFill>
          </a:endParaRPr>
        </a:p>
      </xdr:txBody>
    </xdr:sp>
    <xdr:clientData/>
  </xdr:twoCellAnchor>
  <xdr:twoCellAnchor>
    <xdr:from>
      <xdr:col>8</xdr:col>
      <xdr:colOff>704307</xdr:colOff>
      <xdr:row>4</xdr:row>
      <xdr:rowOff>768692</xdr:rowOff>
    </xdr:from>
    <xdr:to>
      <xdr:col>12</xdr:col>
      <xdr:colOff>237517</xdr:colOff>
      <xdr:row>4</xdr:row>
      <xdr:rowOff>2060457</xdr:rowOff>
    </xdr:to>
    <xdr:sp macro="" textlink="">
      <xdr:nvSpPr>
        <xdr:cNvPr id="22" name="Rectangle 21">
          <a:hlinkClick xmlns:r="http://schemas.openxmlformats.org/officeDocument/2006/relationships" r:id="rId2"/>
          <a:extLst>
            <a:ext uri="{FF2B5EF4-FFF2-40B4-BE49-F238E27FC236}">
              <a16:creationId xmlns:a16="http://schemas.microsoft.com/office/drawing/2014/main" id="{00000000-0008-0000-0000-000016000000}"/>
            </a:ext>
          </a:extLst>
        </xdr:cNvPr>
        <xdr:cNvSpPr/>
      </xdr:nvSpPr>
      <xdr:spPr>
        <a:xfrm>
          <a:off x="5728745" y="1483067"/>
          <a:ext cx="2271647" cy="1291765"/>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1" i="0" u="none" strike="noStrike" kern="0" cap="none" spc="0" normalizeH="0" baseline="0" noProof="0">
              <a:ln>
                <a:noFill/>
              </a:ln>
              <a:solidFill>
                <a:prstClr val="black"/>
              </a:solidFill>
              <a:effectLst/>
              <a:uLnTx/>
              <a:uFillTx/>
              <a:latin typeface="+mn-lt"/>
              <a:ea typeface="+mn-ea"/>
              <a:cs typeface="+mn-cs"/>
            </a:rPr>
            <a:t>3. Change Requests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1" u="none" strike="noStrike" kern="0" cap="none" spc="0" normalizeH="0" baseline="0" noProof="0">
              <a:ln>
                <a:noFill/>
              </a:ln>
              <a:solidFill>
                <a:prstClr val="black"/>
              </a:solidFill>
              <a:effectLst/>
              <a:uLnTx/>
              <a:uFillTx/>
              <a:latin typeface="+mn-lt"/>
              <a:ea typeface="+mn-ea"/>
              <a:cs typeface="+mn-cs"/>
            </a:rPr>
            <a:t>Read this tab for:</a:t>
          </a:r>
        </a:p>
        <a:p>
          <a:pPr algn="l"/>
          <a:r>
            <a:rPr lang="en-GB" sz="1300">
              <a:solidFill>
                <a:sysClr val="windowText" lastClr="000000"/>
              </a:solidFill>
            </a:rPr>
            <a:t>- A </a:t>
          </a:r>
          <a:r>
            <a:rPr lang="en-GB" sz="1300" baseline="0">
              <a:solidFill>
                <a:sysClr val="windowText" lastClr="000000"/>
              </a:solidFill>
            </a:rPr>
            <a:t> summary of </a:t>
          </a:r>
          <a:r>
            <a:rPr lang="en-GB" sz="1300">
              <a:solidFill>
                <a:sysClr val="windowText" lastClr="000000"/>
              </a:solidFill>
            </a:rPr>
            <a:t>change</a:t>
          </a:r>
          <a:r>
            <a:rPr lang="en-GB" sz="1300" baseline="0">
              <a:solidFill>
                <a:sysClr val="windowText" lastClr="000000"/>
              </a:solidFill>
            </a:rPr>
            <a:t> requests, including CR descriptions, workarounds and proposed fix dates</a:t>
          </a:r>
          <a:endParaRPr lang="en-GB" sz="1300">
            <a:solidFill>
              <a:sysClr val="windowText" lastClr="000000"/>
            </a:solidFill>
          </a:endParaRPr>
        </a:p>
      </xdr:txBody>
    </xdr:sp>
    <xdr:clientData/>
  </xdr:twoCellAnchor>
  <xdr:oneCellAnchor>
    <xdr:from>
      <xdr:col>1</xdr:col>
      <xdr:colOff>149677</xdr:colOff>
      <xdr:row>6</xdr:row>
      <xdr:rowOff>54429</xdr:rowOff>
    </xdr:from>
    <xdr:ext cx="1641860" cy="468013"/>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292553" y="2381250"/>
          <a:ext cx="164186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400" b="1"/>
            <a:t>Change Log</a:t>
          </a:r>
        </a:p>
      </xdr:txBody>
    </xdr:sp>
    <xdr:clientData/>
  </xdr:oneCellAnchor>
  <xdr:twoCellAnchor>
    <xdr:from>
      <xdr:col>1</xdr:col>
      <xdr:colOff>396207</xdr:colOff>
      <xdr:row>8</xdr:row>
      <xdr:rowOff>181016</xdr:rowOff>
    </xdr:from>
    <xdr:to>
      <xdr:col>3</xdr:col>
      <xdr:colOff>530678</xdr:colOff>
      <xdr:row>10</xdr:row>
      <xdr:rowOff>8165</xdr:rowOff>
    </xdr:to>
    <xdr:sp macro="" textlink="">
      <xdr:nvSpPr>
        <xdr:cNvPr id="27" name="Rectangle 26" title="Version">
          <a:extLst>
            <a:ext uri="{FF2B5EF4-FFF2-40B4-BE49-F238E27FC236}">
              <a16:creationId xmlns:a16="http://schemas.microsoft.com/office/drawing/2014/main" id="{00000000-0008-0000-0000-00001B000000}"/>
            </a:ext>
            <a:ext uri="{147F2762-F138-4A5C-976F-8EAC2B608ADB}">
              <a16:predDERef xmlns:a16="http://schemas.microsoft.com/office/drawing/2014/main" pred="{250B9525-9D9D-4AC9-8307-F45D28555C24}"/>
            </a:ext>
          </a:extLst>
        </xdr:cNvPr>
        <xdr:cNvSpPr/>
      </xdr:nvSpPr>
      <xdr:spPr>
        <a:xfrm>
          <a:off x="527176" y="3669547"/>
          <a:ext cx="1384627" cy="315306"/>
        </a:xfrm>
        <a:prstGeom prst="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400" b="1" baseline="0">
              <a:solidFill>
                <a:schemeClr val="tx1"/>
              </a:solidFill>
            </a:rPr>
            <a:t>Version:</a:t>
          </a:r>
          <a:endParaRPr kumimoji="0" lang="en-GB" sz="1400" b="1" i="0" u="none" strike="noStrike" kern="0" cap="none" spc="0" normalizeH="0" baseline="0" noProof="0">
            <a:ln>
              <a:noFill/>
            </a:ln>
            <a:solidFill>
              <a:prstClr val="black"/>
            </a:solidFill>
            <a:effectLst/>
            <a:uLnTx/>
            <a:uFillTx/>
            <a:latin typeface="+mn-lt"/>
            <a:ea typeface="+mn-ea"/>
            <a:cs typeface="+mn-cs"/>
          </a:endParaRPr>
        </a:p>
      </xdr:txBody>
    </xdr:sp>
    <xdr:clientData/>
  </xdr:twoCellAnchor>
  <xdr:oneCellAnchor>
    <xdr:from>
      <xdr:col>9</xdr:col>
      <xdr:colOff>154399</xdr:colOff>
      <xdr:row>9</xdr:row>
      <xdr:rowOff>25575</xdr:rowOff>
    </xdr:from>
    <xdr:ext cx="5850063" cy="311496"/>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6100720" y="3713111"/>
          <a:ext cx="585006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400" b="0" i="1" u="none">
              <a:solidFill>
                <a:sysClr val="windowText" lastClr="000000"/>
              </a:solidFill>
            </a:rPr>
            <a:t>Please</a:t>
          </a:r>
          <a:r>
            <a:rPr lang="en-GB" sz="1400" b="0" i="1" u="none" baseline="0">
              <a:solidFill>
                <a:sysClr val="windowText" lastClr="000000"/>
              </a:solidFill>
            </a:rPr>
            <a:t> adjust the version number to view previous </a:t>
          </a:r>
          <a:r>
            <a:rPr lang="en-GB" sz="1400" b="0" i="1" baseline="0"/>
            <a:t>releases of the external KEL</a:t>
          </a:r>
          <a:endParaRPr lang="en-GB" sz="1400" b="0" i="1"/>
        </a:p>
      </xdr:txBody>
    </xdr:sp>
    <xdr:clientData/>
  </xdr:oneCellAnchor>
  <xdr:twoCellAnchor>
    <xdr:from>
      <xdr:col>10</xdr:col>
      <xdr:colOff>346982</xdr:colOff>
      <xdr:row>8</xdr:row>
      <xdr:rowOff>176894</xdr:rowOff>
    </xdr:from>
    <xdr:to>
      <xdr:col>11</xdr:col>
      <xdr:colOff>415017</xdr:colOff>
      <xdr:row>10</xdr:row>
      <xdr:rowOff>54430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6306911" y="2898323"/>
          <a:ext cx="714375" cy="24492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aseline="0">
              <a:solidFill>
                <a:schemeClr val="tx1"/>
              </a:solidFill>
            </a:rPr>
            <a:t> </a:t>
          </a:r>
          <a:endParaRPr lang="en-GB" sz="1400">
            <a:solidFill>
              <a:schemeClr val="tx1"/>
            </a:solidFill>
          </a:endParaRPr>
        </a:p>
      </xdr:txBody>
    </xdr:sp>
    <xdr:clientData/>
  </xdr:twoCellAnchor>
  <xdr:oneCellAnchor>
    <xdr:from>
      <xdr:col>1</xdr:col>
      <xdr:colOff>170082</xdr:colOff>
      <xdr:row>11</xdr:row>
      <xdr:rowOff>42856</xdr:rowOff>
    </xdr:from>
    <xdr:ext cx="17362720" cy="311496"/>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312958" y="3315375"/>
          <a:ext cx="1736272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400" b="1"/>
            <a:t>Key Highlights</a:t>
          </a:r>
          <a:r>
            <a:rPr lang="en-GB" sz="1400" b="1" baseline="0"/>
            <a:t>:</a:t>
          </a:r>
          <a:endParaRPr lang="en-GB" sz="1400" b="1"/>
        </a:p>
      </xdr:txBody>
    </xdr:sp>
    <xdr:clientData/>
  </xdr:oneCellAnchor>
  <xdr:oneCellAnchor>
    <xdr:from>
      <xdr:col>1</xdr:col>
      <xdr:colOff>217058</xdr:colOff>
      <xdr:row>33</xdr:row>
      <xdr:rowOff>69504</xdr:rowOff>
    </xdr:from>
    <xdr:ext cx="184731" cy="311496"/>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356448" y="8680724"/>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400" b="1" baseline="0"/>
        </a:p>
      </xdr:txBody>
    </xdr:sp>
    <xdr:clientData/>
  </xdr:oneCellAnchor>
  <xdr:twoCellAnchor>
    <xdr:from>
      <xdr:col>4</xdr:col>
      <xdr:colOff>496459</xdr:colOff>
      <xdr:row>4</xdr:row>
      <xdr:rowOff>764216</xdr:rowOff>
    </xdr:from>
    <xdr:to>
      <xdr:col>8</xdr:col>
      <xdr:colOff>452263</xdr:colOff>
      <xdr:row>4</xdr:row>
      <xdr:rowOff>2062335</xdr:rowOff>
    </xdr:to>
    <xdr:sp macro="" textlink="">
      <xdr:nvSpPr>
        <xdr:cNvPr id="10" name="Rectangle 25">
          <a:hlinkClick xmlns:r="http://schemas.openxmlformats.org/officeDocument/2006/relationships" r:id="rId3"/>
          <a:extLst>
            <a:ext uri="{FF2B5EF4-FFF2-40B4-BE49-F238E27FC236}">
              <a16:creationId xmlns:a16="http://schemas.microsoft.com/office/drawing/2014/main" id="{00000000-0008-0000-0000-00001A000000}"/>
            </a:ext>
            <a:ext uri="{147F2762-F138-4A5C-976F-8EAC2B608ADB}">
              <a16:predDERef xmlns:a16="http://schemas.microsoft.com/office/drawing/2014/main" pred="{00000000-0008-0000-0000-000024000000}"/>
            </a:ext>
          </a:extLst>
        </xdr:cNvPr>
        <xdr:cNvSpPr/>
      </xdr:nvSpPr>
      <xdr:spPr>
        <a:xfrm>
          <a:off x="2496709" y="1450016"/>
          <a:ext cx="3003804" cy="1298119"/>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algn="l"/>
          <a:r>
            <a:rPr lang="en-GB" sz="1300" b="1">
              <a:solidFill>
                <a:schemeClr val="tx1"/>
              </a:solidFill>
            </a:rPr>
            <a:t>2. External_20251002</a:t>
          </a:r>
        </a:p>
        <a:p>
          <a:pPr algn="l"/>
          <a:r>
            <a:rPr lang="en-GB" sz="1300" i="1">
              <a:solidFill>
                <a:schemeClr val="tx1"/>
              </a:solidFill>
            </a:rPr>
            <a:t>Read</a:t>
          </a:r>
          <a:r>
            <a:rPr lang="en-GB" sz="1300" i="1" baseline="0">
              <a:solidFill>
                <a:schemeClr val="tx1"/>
              </a:solidFill>
            </a:rPr>
            <a:t> this tab for:</a:t>
          </a:r>
        </a:p>
        <a:p>
          <a:pPr algn="l"/>
          <a:r>
            <a:rPr lang="en-GB" sz="1300" baseline="0">
              <a:solidFill>
                <a:schemeClr val="tx1"/>
              </a:solidFill>
            </a:rPr>
            <a:t>- An overview of open KELs as identified by the programme. </a:t>
          </a:r>
        </a:p>
        <a:p>
          <a:pPr algn="l"/>
          <a:r>
            <a:rPr lang="en-GB" sz="1300" baseline="0">
              <a:solidFill>
                <a:schemeClr val="tx1"/>
              </a:solidFill>
            </a:rPr>
            <a:t>- Look here for descriptions of errors, workarounds, and planned fix dates</a:t>
          </a:r>
          <a:endParaRPr lang="en-GB" sz="1300">
            <a:solidFill>
              <a:schemeClr val="tx1"/>
            </a:solidFill>
          </a:endParaRPr>
        </a:p>
      </xdr:txBody>
    </xdr:sp>
    <xdr:clientData/>
  </xdr:twoCellAnchor>
  <xdr:twoCellAnchor>
    <xdr:from>
      <xdr:col>6</xdr:col>
      <xdr:colOff>0</xdr:colOff>
      <xdr:row>9</xdr:row>
      <xdr:rowOff>0</xdr:rowOff>
    </xdr:from>
    <xdr:to>
      <xdr:col>7</xdr:col>
      <xdr:colOff>896471</xdr:colOff>
      <xdr:row>10</xdr:row>
      <xdr:rowOff>0</xdr:rowOff>
    </xdr:to>
    <xdr:sp macro="" textlink="">
      <xdr:nvSpPr>
        <xdr:cNvPr id="46" name="Rectangle 45" title="Version">
          <a:extLst>
            <a:ext uri="{FF2B5EF4-FFF2-40B4-BE49-F238E27FC236}">
              <a16:creationId xmlns:a16="http://schemas.microsoft.com/office/drawing/2014/main" id="{00000000-0008-0000-0000-00002E000000}"/>
            </a:ext>
            <a:ext uri="{147F2762-F138-4A5C-976F-8EAC2B608ADB}">
              <a16:predDERef xmlns:a16="http://schemas.microsoft.com/office/drawing/2014/main" pred="{250B9525-9D9D-4AC9-8307-F45D28555C24}"/>
            </a:ext>
          </a:extLst>
        </xdr:cNvPr>
        <xdr:cNvSpPr/>
      </xdr:nvSpPr>
      <xdr:spPr>
        <a:xfrm>
          <a:off x="3197679" y="3687536"/>
          <a:ext cx="1508792" cy="299357"/>
        </a:xfrm>
        <a:prstGeom prst="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400" b="1" baseline="0">
              <a:solidFill>
                <a:schemeClr val="tx1"/>
              </a:solidFill>
            </a:rPr>
            <a:t>Date of Issue:</a:t>
          </a:r>
          <a:endParaRPr kumimoji="0" lang="en-GB" sz="1400" b="1" i="0" u="none" strike="noStrike" kern="0" cap="none" spc="0" normalizeH="0" baseline="0" noProof="0">
            <a:ln>
              <a:noFill/>
            </a:ln>
            <a:solidFill>
              <a:prstClr val="black"/>
            </a:solidFill>
            <a:effectLst/>
            <a:uLnTx/>
            <a:uFillTx/>
            <a:latin typeface="+mn-lt"/>
            <a:ea typeface="+mn-ea"/>
            <a:cs typeface="+mn-cs"/>
          </a:endParaRPr>
        </a:p>
      </xdr:txBody>
    </xdr:sp>
    <xdr:clientData/>
  </xdr:twoCellAnchor>
  <xdr:twoCellAnchor>
    <xdr:from>
      <xdr:col>12</xdr:col>
      <xdr:colOff>527556</xdr:colOff>
      <xdr:row>4</xdr:row>
      <xdr:rowOff>768691</xdr:rowOff>
    </xdr:from>
    <xdr:to>
      <xdr:col>15</xdr:col>
      <xdr:colOff>1308101</xdr:colOff>
      <xdr:row>4</xdr:row>
      <xdr:rowOff>2066636</xdr:rowOff>
    </xdr:to>
    <xdr:sp macro="" textlink="">
      <xdr:nvSpPr>
        <xdr:cNvPr id="37" name="Rectangle 36">
          <a:hlinkClick xmlns:r="http://schemas.openxmlformats.org/officeDocument/2006/relationships" r:id="rId4"/>
          <a:extLst>
            <a:ext uri="{FF2B5EF4-FFF2-40B4-BE49-F238E27FC236}">
              <a16:creationId xmlns:a16="http://schemas.microsoft.com/office/drawing/2014/main" id="{00000000-0008-0000-0000-000025000000}"/>
            </a:ext>
          </a:extLst>
        </xdr:cNvPr>
        <xdr:cNvSpPr/>
      </xdr:nvSpPr>
      <xdr:spPr>
        <a:xfrm>
          <a:off x="8667101" y="1472964"/>
          <a:ext cx="2142909" cy="1297945"/>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300" b="1">
              <a:solidFill>
                <a:sysClr val="windowText" lastClr="000000"/>
              </a:solidFill>
            </a:rPr>
            <a:t>4.</a:t>
          </a:r>
          <a:r>
            <a:rPr lang="en-GB" sz="1300" b="1" baseline="0">
              <a:solidFill>
                <a:sysClr val="windowText" lastClr="000000"/>
              </a:solidFill>
            </a:rPr>
            <a:t> Resolved and Closed KELs</a:t>
          </a:r>
          <a:endParaRPr lang="en-GB" sz="1300" b="1">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300" i="1">
              <a:solidFill>
                <a:sysClr val="windowText" lastClr="000000"/>
              </a:solidFill>
            </a:rPr>
            <a:t>Read</a:t>
          </a:r>
          <a:r>
            <a:rPr lang="en-GB" sz="1300" i="1" baseline="0">
              <a:solidFill>
                <a:sysClr val="windowText" lastClr="000000"/>
              </a:solidFill>
            </a:rPr>
            <a:t> this tab for:</a:t>
          </a:r>
        </a:p>
        <a:p>
          <a:pPr marL="0" marR="0" lvl="0" indent="0" algn="l" defTabSz="914400" eaLnBrk="1" fontAlgn="auto" latinLnBrk="0" hangingPunct="1">
            <a:lnSpc>
              <a:spcPct val="100000"/>
            </a:lnSpc>
            <a:spcBef>
              <a:spcPts val="0"/>
            </a:spcBef>
            <a:spcAft>
              <a:spcPts val="0"/>
            </a:spcAft>
            <a:buClrTx/>
            <a:buSzTx/>
            <a:buFontTx/>
            <a:buNone/>
            <a:tabLst/>
            <a:defRPr/>
          </a:pPr>
          <a:r>
            <a:rPr lang="en-GB" sz="1300" baseline="0">
              <a:solidFill>
                <a:sysClr val="windowText" lastClr="000000"/>
              </a:solidFill>
            </a:rPr>
            <a:t>- Information on KELs which have been resolved or closed </a:t>
          </a:r>
          <a:endParaRPr lang="en-GB" sz="1300">
            <a:solidFill>
              <a:sysClr val="windowText" lastClr="000000"/>
            </a:solidFill>
          </a:endParaRPr>
        </a:p>
      </xdr:txBody>
    </xdr:sp>
    <xdr:clientData/>
  </xdr:twoCellAnchor>
  <xdr:twoCellAnchor>
    <xdr:from>
      <xdr:col>19</xdr:col>
      <xdr:colOff>353786</xdr:colOff>
      <xdr:row>7</xdr:row>
      <xdr:rowOff>95250</xdr:rowOff>
    </xdr:from>
    <xdr:to>
      <xdr:col>27</xdr:col>
      <xdr:colOff>639536</xdr:colOff>
      <xdr:row>22</xdr:row>
      <xdr:rowOff>144236</xdr:rowOff>
    </xdr:to>
    <xdr:graphicFrame macro="">
      <xdr:nvGraphicFramePr>
        <xdr:cNvPr id="31" name="Chart 30">
          <a:extLst>
            <a:ext uri="{FF2B5EF4-FFF2-40B4-BE49-F238E27FC236}">
              <a16:creationId xmlns:a16="http://schemas.microsoft.com/office/drawing/2014/main" id="{00000000-0008-0000-0000-00001F000000}"/>
            </a:ext>
            <a:ext uri="{147F2762-F138-4A5C-976F-8EAC2B608ADB}">
              <a16:predDERef xmlns:a16="http://schemas.microsoft.com/office/drawing/2014/main" pred="{00000000-0008-0000-0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136069</xdr:colOff>
      <xdr:row>13</xdr:row>
      <xdr:rowOff>163285</xdr:rowOff>
    </xdr:from>
    <xdr:to>
      <xdr:col>3</xdr:col>
      <xdr:colOff>355300</xdr:colOff>
      <xdr:row>18</xdr:row>
      <xdr:rowOff>74785</xdr:rowOff>
    </xdr:to>
    <xdr:sp macro="" textlink="Data!E14">
      <xdr:nvSpPr>
        <xdr:cNvPr id="11" name="Oval 10">
          <a:extLst>
            <a:ext uri="{FF2B5EF4-FFF2-40B4-BE49-F238E27FC236}">
              <a16:creationId xmlns:a16="http://schemas.microsoft.com/office/drawing/2014/main" id="{00000000-0008-0000-0000-00000B000000}"/>
            </a:ext>
          </a:extLst>
        </xdr:cNvPr>
        <xdr:cNvSpPr/>
      </xdr:nvSpPr>
      <xdr:spPr>
        <a:xfrm>
          <a:off x="883415" y="4705977"/>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0722FE1-FE2A-4A03-B2EB-FB78A92DBB3C}" type="TxLink">
            <a:rPr lang="en-US" sz="3200" b="0" i="0" u="none" strike="noStrike">
              <a:solidFill>
                <a:schemeClr val="bg1"/>
              </a:solidFill>
              <a:latin typeface="Calibri"/>
              <a:cs typeface="Calibri"/>
            </a:rPr>
            <a:pPr algn="ctr"/>
            <a:t>1</a:t>
          </a:fld>
          <a:endParaRPr lang="en-GB" sz="3200">
            <a:solidFill>
              <a:schemeClr val="bg1"/>
            </a:solidFill>
          </a:endParaRPr>
        </a:p>
      </xdr:txBody>
    </xdr:sp>
    <xdr:clientData/>
  </xdr:twoCellAnchor>
  <xdr:twoCellAnchor>
    <xdr:from>
      <xdr:col>5</xdr:col>
      <xdr:colOff>57148</xdr:colOff>
      <xdr:row>13</xdr:row>
      <xdr:rowOff>163285</xdr:rowOff>
    </xdr:from>
    <xdr:to>
      <xdr:col>6</xdr:col>
      <xdr:colOff>496186</xdr:colOff>
      <xdr:row>18</xdr:row>
      <xdr:rowOff>74785</xdr:rowOff>
    </xdr:to>
    <xdr:sp macro="" textlink="Data!E13">
      <xdr:nvSpPr>
        <xdr:cNvPr id="42" name="Oval 41">
          <a:extLst>
            <a:ext uri="{FF2B5EF4-FFF2-40B4-BE49-F238E27FC236}">
              <a16:creationId xmlns:a16="http://schemas.microsoft.com/office/drawing/2014/main" id="{00000000-0008-0000-0000-00002A000000}"/>
            </a:ext>
          </a:extLst>
        </xdr:cNvPr>
        <xdr:cNvSpPr/>
      </xdr:nvSpPr>
      <xdr:spPr>
        <a:xfrm>
          <a:off x="3090494" y="4705977"/>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A140263-FDC7-499F-A62B-FB41C85E8812}" type="TxLink">
            <a:rPr lang="en-US" sz="3200" b="0" i="0" u="none" strike="noStrike">
              <a:solidFill>
                <a:schemeClr val="bg1"/>
              </a:solidFill>
              <a:latin typeface="Calibri"/>
              <a:ea typeface="+mn-ea"/>
              <a:cs typeface="Calibri"/>
            </a:rPr>
            <a:pPr marL="0" indent="0" algn="ctr"/>
            <a:t>0</a:t>
          </a:fld>
          <a:endParaRPr lang="en-GB" sz="3200" b="0" i="0" u="none" strike="noStrike">
            <a:solidFill>
              <a:schemeClr val="bg1"/>
            </a:solidFill>
            <a:latin typeface="Calibri"/>
            <a:ea typeface="+mn-ea"/>
            <a:cs typeface="Calibri"/>
          </a:endParaRPr>
        </a:p>
      </xdr:txBody>
    </xdr:sp>
    <xdr:clientData/>
  </xdr:twoCellAnchor>
  <xdr:twoCellAnchor>
    <xdr:from>
      <xdr:col>8</xdr:col>
      <xdr:colOff>182335</xdr:colOff>
      <xdr:row>13</xdr:row>
      <xdr:rowOff>163285</xdr:rowOff>
    </xdr:from>
    <xdr:to>
      <xdr:col>8</xdr:col>
      <xdr:colOff>1046335</xdr:colOff>
      <xdr:row>18</xdr:row>
      <xdr:rowOff>74785</xdr:rowOff>
    </xdr:to>
    <xdr:sp macro="" textlink="Data!E10">
      <xdr:nvSpPr>
        <xdr:cNvPr id="43" name="Oval 42">
          <a:extLst>
            <a:ext uri="{FF2B5EF4-FFF2-40B4-BE49-F238E27FC236}">
              <a16:creationId xmlns:a16="http://schemas.microsoft.com/office/drawing/2014/main" id="{00000000-0008-0000-0000-00002B000000}"/>
            </a:ext>
          </a:extLst>
        </xdr:cNvPr>
        <xdr:cNvSpPr/>
      </xdr:nvSpPr>
      <xdr:spPr>
        <a:xfrm>
          <a:off x="5080906" y="4721678"/>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5769190-8449-488F-B415-B2CC3DE7A776}" type="TxLink">
            <a:rPr lang="en-US" sz="3200" b="0" i="0" u="none" strike="noStrike">
              <a:solidFill>
                <a:schemeClr val="bg1"/>
              </a:solidFill>
              <a:latin typeface="Calibri"/>
              <a:cs typeface="Calibri"/>
            </a:rPr>
            <a:pPr algn="ctr"/>
            <a:t>0</a:t>
          </a:fld>
          <a:endParaRPr lang="en-GB" sz="3200">
            <a:solidFill>
              <a:schemeClr val="bg1"/>
            </a:solidFill>
          </a:endParaRPr>
        </a:p>
      </xdr:txBody>
    </xdr:sp>
    <xdr:clientData/>
  </xdr:twoCellAnchor>
  <xdr:twoCellAnchor>
    <xdr:from>
      <xdr:col>15</xdr:col>
      <xdr:colOff>137431</xdr:colOff>
      <xdr:row>13</xdr:row>
      <xdr:rowOff>163285</xdr:rowOff>
    </xdr:from>
    <xdr:to>
      <xdr:col>15</xdr:col>
      <xdr:colOff>1001431</xdr:colOff>
      <xdr:row>18</xdr:row>
      <xdr:rowOff>74785</xdr:rowOff>
    </xdr:to>
    <xdr:sp macro="" textlink="Data!E12">
      <xdr:nvSpPr>
        <xdr:cNvPr id="4" name="Oval 43">
          <a:extLst>
            <a:ext uri="{FF2B5EF4-FFF2-40B4-BE49-F238E27FC236}">
              <a16:creationId xmlns:a16="http://schemas.microsoft.com/office/drawing/2014/main" id="{00000000-0008-0000-0000-00002C000000}"/>
            </a:ext>
            <a:ext uri="{147F2762-F138-4A5C-976F-8EAC2B608ADB}">
              <a16:predDERef xmlns:a16="http://schemas.microsoft.com/office/drawing/2014/main" pred="{00000000-0008-0000-0000-00002B000000}"/>
            </a:ext>
          </a:extLst>
        </xdr:cNvPr>
        <xdr:cNvSpPr/>
      </xdr:nvSpPr>
      <xdr:spPr>
        <a:xfrm>
          <a:off x="9214756" y="4620985"/>
          <a:ext cx="864000" cy="816375"/>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8B88E47-4804-43A4-B889-54C8EFF301B1}" type="TxLink">
            <a:rPr lang="en-US" sz="3200" b="0" i="0" u="none" strike="noStrike">
              <a:solidFill>
                <a:schemeClr val="bg1"/>
              </a:solidFill>
              <a:latin typeface="Calibri"/>
              <a:ea typeface="+mn-ea"/>
              <a:cs typeface="Calibri"/>
            </a:rPr>
            <a:pPr marL="0" indent="0" algn="ctr"/>
            <a:t>1</a:t>
          </a:fld>
          <a:endParaRPr lang="en-GB" sz="3200" b="0" i="0" u="none" strike="noStrike">
            <a:solidFill>
              <a:schemeClr val="bg1"/>
            </a:solidFill>
            <a:latin typeface="Calibri"/>
            <a:ea typeface="+mn-ea"/>
            <a:cs typeface="Calibri"/>
          </a:endParaRPr>
        </a:p>
      </xdr:txBody>
    </xdr:sp>
    <xdr:clientData/>
  </xdr:twoCellAnchor>
  <xdr:twoCellAnchor>
    <xdr:from>
      <xdr:col>11</xdr:col>
      <xdr:colOff>78920</xdr:colOff>
      <xdr:row>13</xdr:row>
      <xdr:rowOff>163285</xdr:rowOff>
    </xdr:from>
    <xdr:to>
      <xdr:col>12</xdr:col>
      <xdr:colOff>327459</xdr:colOff>
      <xdr:row>18</xdr:row>
      <xdr:rowOff>74785</xdr:rowOff>
    </xdr:to>
    <xdr:sp macro="" textlink="Data!E11">
      <xdr:nvSpPr>
        <xdr:cNvPr id="45" name="Oval 44">
          <a:extLst>
            <a:ext uri="{FF2B5EF4-FFF2-40B4-BE49-F238E27FC236}">
              <a16:creationId xmlns:a16="http://schemas.microsoft.com/office/drawing/2014/main" id="{00000000-0008-0000-0000-00002D000000}"/>
            </a:ext>
          </a:extLst>
        </xdr:cNvPr>
        <xdr:cNvSpPr/>
      </xdr:nvSpPr>
      <xdr:spPr>
        <a:xfrm>
          <a:off x="7259305" y="4705977"/>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523BC0B-1D4E-4C56-9202-3ED8FA208A7C}" type="TxLink">
            <a:rPr lang="en-US" sz="3200" b="0" i="0" u="none" strike="noStrike">
              <a:solidFill>
                <a:schemeClr val="bg1"/>
              </a:solidFill>
              <a:latin typeface="Calibri"/>
              <a:cs typeface="Calibri"/>
            </a:rPr>
            <a:pPr algn="ctr"/>
            <a:t>0</a:t>
          </a:fld>
          <a:endParaRPr lang="en-GB" sz="3200">
            <a:solidFill>
              <a:schemeClr val="bg1"/>
            </a:solidFill>
          </a:endParaRPr>
        </a:p>
      </xdr:txBody>
    </xdr:sp>
    <xdr:clientData/>
  </xdr:twoCellAnchor>
  <xdr:twoCellAnchor>
    <xdr:from>
      <xdr:col>19</xdr:col>
      <xdr:colOff>340178</xdr:colOff>
      <xdr:row>23</xdr:row>
      <xdr:rowOff>149679</xdr:rowOff>
    </xdr:from>
    <xdr:to>
      <xdr:col>27</xdr:col>
      <xdr:colOff>625927</xdr:colOff>
      <xdr:row>35</xdr:row>
      <xdr:rowOff>1224643</xdr:rowOff>
    </xdr:to>
    <xdr:graphicFrame macro="">
      <xdr:nvGraphicFramePr>
        <xdr:cNvPr id="61" name="Chart 24">
          <a:extLst>
            <a:ext uri="{FF2B5EF4-FFF2-40B4-BE49-F238E27FC236}">
              <a16:creationId xmlns:a16="http://schemas.microsoft.com/office/drawing/2014/main" id="{00000000-0008-0000-0000-000019000000}"/>
            </a:ext>
            <a:ext uri="{147F2762-F138-4A5C-976F-8EAC2B608ADB}">
              <a16:predDERef xmlns:a16="http://schemas.microsoft.com/office/drawing/2014/main" pred="{00000000-0008-0000-0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225424</xdr:colOff>
      <xdr:row>2</xdr:row>
      <xdr:rowOff>39159</xdr:rowOff>
    </xdr:from>
    <xdr:to>
      <xdr:col>27</xdr:col>
      <xdr:colOff>656991</xdr:colOff>
      <xdr:row>4</xdr:row>
      <xdr:rowOff>313974</xdr:rowOff>
    </xdr:to>
    <xdr:pic>
      <xdr:nvPicPr>
        <xdr:cNvPr id="6" name="Picture 3" descr="A logo with a crown and text&#10;&#10;Description automatically generated">
          <a:extLst>
            <a:ext uri="{FF2B5EF4-FFF2-40B4-BE49-F238E27FC236}">
              <a16:creationId xmlns:a16="http://schemas.microsoft.com/office/drawing/2014/main" id="{046AD7E0-E01A-C3A3-17FA-250E3A119FB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042341" y="367242"/>
          <a:ext cx="1047517" cy="63041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844514" cy="431800"/>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0"/>
          <a:ext cx="844514" cy="43180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CAF1\Declaration%20Management%20(CDS)\DMS%20Rules\DMS%20Reference%20Data\Deployment\R2\R2.3%20(30th%20April)\DMS.uk%20Local%20Reference%20Data%2011.22_R2.3_30t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dentification"/>
      <sheetName val="CodeList"/>
      <sheetName val="CodeListElements"/>
      <sheetName val="Categories"/>
      <sheetName val="CategoriesElements"/>
      <sheetName val="DMS_SQL1"/>
      <sheetName val="DMS_SQL2"/>
      <sheetName val="RDS_SQL1"/>
      <sheetName val="RDS_SQL2"/>
      <sheetName val="RDS_SQL3"/>
      <sheetName val="RDS_SQL4"/>
    </sheetNames>
    <sheetDataSet>
      <sheetData sheetId="0"/>
      <sheetData sheetId="1">
        <row r="1">
          <cell r="C1" t="str">
            <v>CodeList</v>
          </cell>
        </row>
      </sheetData>
      <sheetData sheetId="2"/>
      <sheetData sheetId="3">
        <row r="1">
          <cell r="C1" t="str">
            <v>Category CodeList name</v>
          </cell>
        </row>
        <row r="2">
          <cell r="C2" t="str">
            <v>WhProcedures</v>
          </cell>
        </row>
        <row r="3">
          <cell r="C3" t="str">
            <v>WeightUnitTypes</v>
          </cell>
        </row>
        <row r="4">
          <cell r="C4" t="str">
            <v>WaterTransportModes</v>
          </cell>
        </row>
        <row r="5">
          <cell r="C5" t="str">
            <v>VatValuationDeductionTypes</v>
          </cell>
        </row>
        <row r="6">
          <cell r="C6" t="str">
            <v>VatValuationAdditionTypes</v>
          </cell>
        </row>
        <row r="7">
          <cell r="C7" t="str">
            <v>VatTypes</v>
          </cell>
        </row>
        <row r="8">
          <cell r="C8" t="str">
            <v>VatDeclaringPartys</v>
          </cell>
        </row>
        <row r="9">
          <cell r="C9" t="str">
            <v>VatAndExciseTypes</v>
          </cell>
        </row>
        <row r="10">
          <cell r="C10" t="str">
            <v>ValuationDeductionTypes</v>
          </cell>
        </row>
        <row r="11">
          <cell r="C11" t="str">
            <v>ValuationAdditionTypes</v>
          </cell>
        </row>
        <row r="12">
          <cell r="C12" t="str">
            <v>UnpackedPackageTypes</v>
          </cell>
        </row>
        <row r="13">
          <cell r="C13" t="str">
            <v>UnitsRequiringQualifiers</v>
          </cell>
        </row>
        <row r="14">
          <cell r="C14" t="str">
            <v>TypeKProcedures</v>
          </cell>
        </row>
        <row r="15">
          <cell r="C15" t="str">
            <v>TypeJProcedures</v>
          </cell>
        </row>
        <row r="16">
          <cell r="C16" t="str">
            <v>TypeIProcedures</v>
          </cell>
        </row>
        <row r="17">
          <cell r="C17" t="str">
            <v>TypeHProcedures</v>
          </cell>
        </row>
        <row r="18">
          <cell r="C18" t="str">
            <v>TypeGProcedures</v>
          </cell>
        </row>
        <row r="19">
          <cell r="C19" t="str">
            <v>TypeFProcedures</v>
          </cell>
        </row>
        <row r="20">
          <cell r="C20" t="str">
            <v>TypeEProcedures</v>
          </cell>
        </row>
        <row r="21">
          <cell r="C21" t="str">
            <v>TypeDProcedures</v>
          </cell>
        </row>
        <row r="22">
          <cell r="C22" t="str">
            <v>TypeCProcedures</v>
          </cell>
        </row>
        <row r="23">
          <cell r="C23" t="str">
            <v>TypeBProcedures</v>
          </cell>
        </row>
        <row r="24">
          <cell r="C24" t="str">
            <v>TypeAProcedures</v>
          </cell>
        </row>
        <row r="25">
          <cell r="C25" t="str">
            <v>ThirdSpecialTerritoriesCategories</v>
          </cell>
        </row>
        <row r="26">
          <cell r="C26" t="str">
            <v>ThirdCountries</v>
          </cell>
        </row>
        <row r="27">
          <cell r="C27" t="str">
            <v>SuspensionProcedures</v>
          </cell>
        </row>
        <row r="28">
          <cell r="C28" t="str">
            <v>SupportedProcedures</v>
          </cell>
        </row>
        <row r="29">
          <cell r="C29" t="str">
            <v>SupervisingCustomsOffices</v>
          </cell>
        </row>
        <row r="30">
          <cell r="C30" t="str">
            <v>StatusDocuments</v>
          </cell>
        </row>
        <row r="31">
          <cell r="C31" t="str">
            <v>StandAloneSupplementaryDeclarationTypes</v>
          </cell>
        </row>
        <row r="32">
          <cell r="C32" t="str">
            <v>StandAloneSimplifiedDeclarationTypes</v>
          </cell>
        </row>
        <row r="33">
          <cell r="C33" t="str">
            <v>SpecialMentionDescriptions</v>
          </cell>
        </row>
        <row r="34">
          <cell r="C34" t="str">
            <v>SpecialFiscalTerritories</v>
          </cell>
        </row>
        <row r="35">
          <cell r="C35" t="str">
            <v>RoadRailIncoTermCodes</v>
          </cell>
        </row>
        <row r="36">
          <cell r="C36" t="str">
            <v>ReliefProcedures</v>
          </cell>
        </row>
        <row r="37">
          <cell r="C37" t="str">
            <v>RelativeValuationAdjustmentTypes</v>
          </cell>
        </row>
        <row r="38">
          <cell r="C38" t="str">
            <v>RefundRelatedSpecialProcedures</v>
          </cell>
        </row>
        <row r="39">
          <cell r="C39" t="str">
            <v>ReconciliatoryDocuments</v>
          </cell>
        </row>
        <row r="40">
          <cell r="C40" t="str">
            <v>QuotaPreferences</v>
          </cell>
        </row>
        <row r="41">
          <cell r="C41" t="str">
            <v>ProvisionalDutyMeasureTypes</v>
          </cell>
        </row>
        <row r="42">
          <cell r="C42" t="str">
            <v>PreferentialDocuments</v>
          </cell>
        </row>
        <row r="43">
          <cell r="C43" t="str">
            <v>PreferenceProcedures</v>
          </cell>
        </row>
        <row r="44">
          <cell r="C44" t="str">
            <v>PostReleaseMonitorableDeclarationTypes</v>
          </cell>
        </row>
        <row r="45">
          <cell r="C45" t="str">
            <v>PhytosanitarySpecialMentions</v>
          </cell>
        </row>
        <row r="46">
          <cell r="C46" t="str">
            <v>PhytosanitaryCertificates</v>
          </cell>
        </row>
        <row r="47">
          <cell r="C47" t="str">
            <v>PackagedPackageTypes</v>
          </cell>
        </row>
        <row r="48">
          <cell r="C48" t="str">
            <v>NonWaterIncoTermCodes</v>
          </cell>
        </row>
        <row r="49">
          <cell r="C49" t="str">
            <v>NonThirdCountries</v>
          </cell>
        </row>
        <row r="50">
          <cell r="C50" t="str">
            <v>NonQuotaPreferences</v>
          </cell>
        </row>
        <row r="51">
          <cell r="C51" t="str">
            <v>NonGBWarehouseTypes</v>
          </cell>
        </row>
        <row r="52">
          <cell r="C52" t="str">
            <v>NonExciseProcedures</v>
          </cell>
        </row>
        <row r="53">
          <cell r="C53" t="str">
            <v>NonExciseOrVatProcedures</v>
          </cell>
        </row>
        <row r="54">
          <cell r="C54" t="str">
            <v>NoMonitoringTransportModes</v>
          </cell>
        </row>
        <row r="55">
          <cell r="C55" t="str">
            <v>NoMonitoringDocuments</v>
          </cell>
        </row>
        <row r="56">
          <cell r="C56" t="str">
            <v>NationalSpecialProcedures</v>
          </cell>
        </row>
        <row r="57">
          <cell r="C57" t="str">
            <v>NationalSpecialMentions</v>
          </cell>
        </row>
        <row r="58">
          <cell r="C58" t="str">
            <v>NationalPreviousDocuments</v>
          </cell>
        </row>
        <row r="59">
          <cell r="C59" t="str">
            <v>NationalityRequiredTransportModes</v>
          </cell>
        </row>
        <row r="60">
          <cell r="C60" t="str">
            <v>NationalDutyTypes</v>
          </cell>
        </row>
        <row r="61">
          <cell r="C61" t="str">
            <v>NationalAdditionalDocuments</v>
          </cell>
        </row>
        <row r="62">
          <cell r="C62" t="str">
            <v>ManualCalculationFootnotes</v>
          </cell>
        </row>
        <row r="63">
          <cell r="C63" t="str">
            <v>MandatoryEuEstablishedDeclarantProcedures</v>
          </cell>
        </row>
        <row r="64">
          <cell r="C64" t="str">
            <v>LicensingDocumentTypes</v>
          </cell>
        </row>
        <row r="65">
          <cell r="C65" t="str">
            <v>InvalidationAmendmentReasons</v>
          </cell>
        </row>
        <row r="66">
          <cell r="C66" t="str">
            <v>ImProcedures</v>
          </cell>
        </row>
        <row r="67">
          <cell r="C67" t="str">
            <v>ImportSpecialProcedures</v>
          </cell>
        </row>
        <row r="68">
          <cell r="C68" t="str">
            <v>ImportSpecialMentions</v>
          </cell>
        </row>
        <row r="69">
          <cell r="C69" t="str">
            <v>ImportRequestedProcedures</v>
          </cell>
        </row>
        <row r="70">
          <cell r="C70" t="str">
            <v>ImportPreviousProcedures</v>
          </cell>
        </row>
        <row r="71">
          <cell r="C71" t="str">
            <v>ImportPreviousDocuments</v>
          </cell>
        </row>
        <row r="72">
          <cell r="C72" t="str">
            <v>ImportCertificates</v>
          </cell>
        </row>
        <row r="73">
          <cell r="C73" t="str">
            <v>ILEDocuments</v>
          </cell>
        </row>
        <row r="74">
          <cell r="C74" t="str">
            <v>IdentifyableTransportModes</v>
          </cell>
        </row>
        <row r="75">
          <cell r="C75" t="str">
            <v>IdentifyableDocuments</v>
          </cell>
        </row>
        <row r="76">
          <cell r="C76" t="str">
            <v>IdentifiablePreviousDocuments</v>
          </cell>
        </row>
        <row r="77">
          <cell r="C77" t="str">
            <v>HeaderValuationAdjustmentTypes</v>
          </cell>
        </row>
        <row r="78">
          <cell r="C78" t="str">
            <v>GoodsItemValuationAdjustmentTypes</v>
          </cell>
        </row>
        <row r="79">
          <cell r="C79" t="str">
            <v>GoodsItemLevelAdditionalInformationTypes</v>
          </cell>
        </row>
        <row r="81">
          <cell r="C81" t="str">
            <v>FinalDutyMeasureTypes</v>
          </cell>
        </row>
        <row r="82">
          <cell r="C82" t="str">
            <v>FASValuationAdjustments</v>
          </cell>
        </row>
        <row r="83">
          <cell r="C83" t="str">
            <v>EXWValuationAdjustments</v>
          </cell>
        </row>
        <row r="84">
          <cell r="C84" t="str">
            <v>EXWDisalValuationAdjustments</v>
          </cell>
        </row>
        <row r="85">
          <cell r="C85" t="str">
            <v>ExProcedures</v>
          </cell>
        </row>
        <row r="86">
          <cell r="C86" t="str">
            <v>ExportSpecialProcedures</v>
          </cell>
        </row>
        <row r="87">
          <cell r="C87" t="str">
            <v>ExportSpecialMentions</v>
          </cell>
        </row>
        <row r="88">
          <cell r="C88" t="str">
            <v>ExportRequestedProcedures</v>
          </cell>
        </row>
        <row r="89">
          <cell r="C89" t="str">
            <v>ExportPreviousProcedures</v>
          </cell>
        </row>
        <row r="90">
          <cell r="C90" t="str">
            <v>ExportPreviousDocuments</v>
          </cell>
        </row>
        <row r="91">
          <cell r="C91" t="str">
            <v>ExportCertificates</v>
          </cell>
        </row>
        <row r="92">
          <cell r="C92" t="str">
            <v>ExitCustomsOffices</v>
          </cell>
        </row>
        <row r="93">
          <cell r="C93" t="str">
            <v>ExDestinationCountries</v>
          </cell>
        </row>
        <row r="94">
          <cell r="C94" t="str">
            <v>ExciseTypes</v>
          </cell>
        </row>
        <row r="95">
          <cell r="C95" t="str">
            <v>ExchangeRateCurrencies</v>
          </cell>
        </row>
        <row r="96">
          <cell r="C96" t="str">
            <v>EuDestinationCountries</v>
          </cell>
        </row>
        <row r="97">
          <cell r="C97" t="str">
            <v>EuCountries</v>
          </cell>
        </row>
        <row r="99">
          <cell r="C99" t="str">
            <v>EntryCustomsOffices</v>
          </cell>
        </row>
        <row r="100">
          <cell r="C100" t="str">
            <v>EftaCountries</v>
          </cell>
        </row>
        <row r="101">
          <cell r="C101" t="str">
            <v>DUCRDocumentCategories</v>
          </cell>
        </row>
        <row r="103">
          <cell r="C103" t="str">
            <v>DocumentReasonStatuses</v>
          </cell>
        </row>
        <row r="104">
          <cell r="C104" t="str">
            <v>DmsSupportedProcedureTypes</v>
          </cell>
        </row>
        <row r="105">
          <cell r="C105" t="str">
            <v>DisallowedDocuments</v>
          </cell>
        </row>
        <row r="106">
          <cell r="C106" t="str">
            <v>DeferredPaymentMethods</v>
          </cell>
        </row>
        <row r="107">
          <cell r="C107" t="str">
            <v>DeferredPaymentDocuments</v>
          </cell>
        </row>
        <row r="108">
          <cell r="C108" t="str">
            <v>DeclarationLevelAdditionalInformationTypes</v>
          </cell>
        </row>
        <row r="109">
          <cell r="C109" t="str">
            <v>DeclarationCustomsOffices</v>
          </cell>
        </row>
        <row r="110">
          <cell r="C110" t="str">
            <v>DAFValuationAdjustments</v>
          </cell>
        </row>
        <row r="111">
          <cell r="C111" t="str">
            <v>DAFDisalValuationAdjustments</v>
          </cell>
        </row>
        <row r="112">
          <cell r="C112" t="str">
            <v>CustomsValueDerivableDutyTypes</v>
          </cell>
        </row>
        <row r="113">
          <cell r="C113" t="str">
            <v>CustomsAmendmentReasons</v>
          </cell>
        </row>
        <row r="115">
          <cell r="C115" t="str">
            <v>CPTDisalValuationAdjustments</v>
          </cell>
        </row>
        <row r="116">
          <cell r="C116" t="str">
            <v>CorrectionAmendmentReasons</v>
          </cell>
        </row>
        <row r="117">
          <cell r="C117" t="str">
            <v>CoRequestedProcedures</v>
          </cell>
        </row>
        <row r="118">
          <cell r="C118" t="str">
            <v>CoPreviousProcedures</v>
          </cell>
        </row>
        <row r="119">
          <cell r="C119" t="str">
            <v>CommunityDutyTypes</v>
          </cell>
        </row>
        <row r="120">
          <cell r="C120" t="str">
            <v>CoDestinationCountries</v>
          </cell>
        </row>
        <row r="121">
          <cell r="C121" t="str">
            <v>CCGRequestedProcedures</v>
          </cell>
        </row>
        <row r="122">
          <cell r="C122" t="str">
            <v>CCGPreviousProcedures</v>
          </cell>
        </row>
        <row r="123">
          <cell r="C123" t="str">
            <v>CCGAuthorisationGuaranteeTypes</v>
          </cell>
        </row>
        <row r="124">
          <cell r="C124" t="str">
            <v>CCGAuthorisationDocuments</v>
          </cell>
        </row>
        <row r="125">
          <cell r="C125" t="str">
            <v>CashPaymentMethodTypes</v>
          </cell>
        </row>
        <row r="126">
          <cell r="C126" t="str">
            <v>CashAccountPaymentMethods</v>
          </cell>
        </row>
        <row r="127">
          <cell r="C127" t="str">
            <v>BulkPackageTypes</v>
          </cell>
        </row>
        <row r="129">
          <cell r="C129" t="str">
            <v>AuthorizationRequiredSpecialProcedures</v>
          </cell>
        </row>
        <row r="130">
          <cell r="C130" t="str">
            <v>AuthorizationRequiredProcedures</v>
          </cell>
        </row>
        <row r="132">
          <cell r="C132" t="str">
            <v>ApportionByMassValuationAdjustmentTypes</v>
          </cell>
        </row>
        <row r="133">
          <cell r="C133" t="str">
            <v>AnyPartyAuthorisationDocuments</v>
          </cell>
        </row>
        <row r="134">
          <cell r="C134" t="str">
            <v>AlternativeProofDocuments</v>
          </cell>
        </row>
        <row r="135">
          <cell r="C135" t="str">
            <v>AllowedSummaryCaseDocuments</v>
          </cell>
        </row>
        <row r="136">
          <cell r="C136" t="str">
            <v>AllowedPreviousDocuments</v>
          </cell>
        </row>
        <row r="137">
          <cell r="C137" t="str">
            <v>AllowedPrecedingCaseDocuments</v>
          </cell>
        </row>
        <row r="138">
          <cell r="C138" t="str">
            <v>AllowedInitialDeclarationTypes</v>
          </cell>
        </row>
        <row r="139">
          <cell r="C139" t="str">
            <v>AllowedInitialCaseDocuments</v>
          </cell>
        </row>
        <row r="140">
          <cell r="C140" t="str">
            <v>AllowedCurrencyTypes</v>
          </cell>
        </row>
        <row r="141">
          <cell r="C141" t="str">
            <v>AllowedAdditionalDocuments</v>
          </cell>
        </row>
        <row r="142">
          <cell r="C142" t="str">
            <v>AirTransportValuationAdjustments</v>
          </cell>
        </row>
        <row r="143">
          <cell r="C143" t="str">
            <v>AirportCodesZoneFrenchOverseasDepartments</v>
          </cell>
        </row>
        <row r="144">
          <cell r="C144" t="str">
            <v>AirportCodeQZones</v>
          </cell>
        </row>
        <row r="145">
          <cell r="C145" t="str">
            <v>AirportCodePZones</v>
          </cell>
        </row>
        <row r="146">
          <cell r="C146" t="str">
            <v>AirportCodeOZones</v>
          </cell>
        </row>
        <row r="147">
          <cell r="C147" t="str">
            <v>AirportCodeNZones</v>
          </cell>
        </row>
        <row r="148">
          <cell r="C148" t="str">
            <v>AirportCodeMZones</v>
          </cell>
        </row>
        <row r="149">
          <cell r="C149" t="str">
            <v>AirportCodeLZones</v>
          </cell>
        </row>
        <row r="150">
          <cell r="C150" t="str">
            <v>AirportCodeKZones</v>
          </cell>
        </row>
        <row r="151">
          <cell r="C151" t="str">
            <v>AirportCodeJZones</v>
          </cell>
        </row>
        <row r="152">
          <cell r="C152" t="str">
            <v>AirportCodeIZones</v>
          </cell>
        </row>
        <row r="153">
          <cell r="C153" t="str">
            <v>AirportCodeHZones</v>
          </cell>
        </row>
        <row r="154">
          <cell r="C154" t="str">
            <v>AirportCodeGZones</v>
          </cell>
        </row>
        <row r="155">
          <cell r="C155" t="str">
            <v>AirportCodeFZones</v>
          </cell>
        </row>
        <row r="156">
          <cell r="C156" t="str">
            <v>AirportCodeEZones</v>
          </cell>
        </row>
        <row r="157">
          <cell r="C157" t="str">
            <v>AirportCodeDZones</v>
          </cell>
        </row>
        <row r="158">
          <cell r="C158" t="str">
            <v>AirportCodeCZones</v>
          </cell>
        </row>
        <row r="159">
          <cell r="C159" t="str">
            <v>AirportCodeBZones</v>
          </cell>
        </row>
        <row r="160">
          <cell r="C160" t="str">
            <v>AirportCodeAZones</v>
          </cell>
        </row>
        <row r="161">
          <cell r="C161" t="str">
            <v>AdditionalDocumentsWarehousing</v>
          </cell>
        </row>
        <row r="162">
          <cell r="C162" t="str">
            <v>AdditionalDocumentsReExport</v>
          </cell>
        </row>
        <row r="163">
          <cell r="C163" t="str">
            <v>AdditionalDocumentsOutwardProcessing</v>
          </cell>
        </row>
        <row r="164">
          <cell r="C164" t="str">
            <v>AdditionalDocumentsImportRelease</v>
          </cell>
        </row>
        <row r="165">
          <cell r="C165" t="str">
            <v>AdditionalDocumentsImportOther</v>
          </cell>
        </row>
        <row r="166">
          <cell r="C166" t="str">
            <v>AdditionalDocumentsExportWarehousing</v>
          </cell>
        </row>
        <row r="167">
          <cell r="C167" t="str">
            <v>AdditionalDocumentsExport</v>
          </cell>
        </row>
        <row r="168">
          <cell r="C168" t="str">
            <v>AdditionalActors</v>
          </cell>
        </row>
        <row r="169">
          <cell r="C169" t="str">
            <v>OtherTaxTypes</v>
          </cell>
        </row>
        <row r="170">
          <cell r="C170" t="str">
            <v>CustomsDuty</v>
          </cell>
        </row>
        <row r="171">
          <cell r="C171" t="str">
            <v>VolumeUnitTypes</v>
          </cell>
        </row>
        <row r="172">
          <cell r="C172" t="str">
            <v>BlockingDocumentControlMeans</v>
          </cell>
        </row>
        <row r="173">
          <cell r="C173" t="str">
            <v>NonBlockingDocumentControlMeans</v>
          </cell>
        </row>
        <row r="174">
          <cell r="C174" t="str">
            <v>DisallowedLegalStatusTypes</v>
          </cell>
        </row>
        <row r="175">
          <cell r="C175" t="str">
            <v>GoodsExitedStatuses</v>
          </cell>
        </row>
        <row r="176">
          <cell r="C176" t="str">
            <v>InvalidationDisallowingExitStatuses</v>
          </cell>
        </row>
        <row r="177">
          <cell r="C177" t="str">
            <v>NonRejectingTariffActionTypes</v>
          </cell>
        </row>
        <row r="178">
          <cell r="C178" t="str">
            <v>RejectingTariffActionTypes</v>
          </cell>
        </row>
        <row r="179">
          <cell r="C179" t="str">
            <v>WarehouseBAuthorizations</v>
          </cell>
        </row>
        <row r="180">
          <cell r="C180" t="str">
            <v>WarehouseCAuthorizations</v>
          </cell>
        </row>
        <row r="181">
          <cell r="C181" t="str">
            <v>SpecialMentionsExport</v>
          </cell>
        </row>
        <row r="182">
          <cell r="C182" t="str">
            <v>SpecialMentionsExportWarehousing</v>
          </cell>
        </row>
        <row r="183">
          <cell r="C183" t="str">
            <v>SpecialMentionsImportOther</v>
          </cell>
        </row>
        <row r="184">
          <cell r="C184" t="str">
            <v>SpecialMentionsImportRelease</v>
          </cell>
        </row>
        <row r="185">
          <cell r="C185" t="str">
            <v>SpecialMentionsOutwardProcessing</v>
          </cell>
        </row>
        <row r="186">
          <cell r="C186" t="str">
            <v>SpecialMentionsReExport</v>
          </cell>
        </row>
        <row r="187">
          <cell r="C187" t="str">
            <v>SpecialMentionsWarehousing</v>
          </cell>
        </row>
        <row r="188">
          <cell r="C188" t="str">
            <v>NonWaiverLicensingDocumentTypes</v>
          </cell>
        </row>
        <row r="189">
          <cell r="C189" t="str">
            <v>WaiverLicensingDocumentTypes</v>
          </cell>
        </row>
        <row r="190">
          <cell r="C190" t="str">
            <v>ALVSDocuments</v>
          </cell>
        </row>
        <row r="191">
          <cell r="C191" t="str">
            <v>TypeCWarehouseRequestedProcedures</v>
          </cell>
        </row>
        <row r="192">
          <cell r="C192" t="str">
            <v>TypeCNoPreviousRequestedProcedures</v>
          </cell>
        </row>
        <row r="193">
          <cell r="C193" t="str">
            <v>AutomaticInvalidationAmendmentReasons</v>
          </cell>
        </row>
        <row r="194">
          <cell r="C194" t="str">
            <v>ILIDocuments</v>
          </cell>
        </row>
        <row r="195">
          <cell r="C195" t="str">
            <v>ManualEntryAllowedProcedureCategoryTypes</v>
          </cell>
        </row>
        <row r="196">
          <cell r="C196" t="str">
            <v>PostReleaseMonitorableProcedureTypes</v>
          </cell>
        </row>
        <row r="197">
          <cell r="C197" t="str">
            <v>CustomsClearanceRequestImports</v>
          </cell>
        </row>
        <row r="198">
          <cell r="C198" t="str">
            <v>CustomsClearanceRequestExports</v>
          </cell>
        </row>
        <row r="199">
          <cell r="C199" t="str">
            <v>CDLicencingDocumentsTypes</v>
          </cell>
        </row>
        <row r="200">
          <cell r="C200" t="str">
            <v>CLSpecialMentionTypes</v>
          </cell>
        </row>
        <row r="201">
          <cell r="C201" t="str">
            <v>PProcedureCodeSpecialMentionsTypes</v>
          </cell>
        </row>
        <row r="202">
          <cell r="C202" t="str">
            <v>CustomProcedureSpecialMentionsTypes</v>
          </cell>
        </row>
        <row r="203">
          <cell r="C203" t="str">
            <v>AIGovernmentProcedureCodes</v>
          </cell>
        </row>
        <row r="204">
          <cell r="C204" t="str">
            <v>AdditionalSpecialProcedureTypes</v>
          </cell>
        </row>
        <row r="205">
          <cell r="C205" t="str">
            <v>RPDeclaredGuaranteeTypes</v>
          </cell>
        </row>
        <row r="206">
          <cell r="C206" t="str">
            <v>CAdditionalInformationSpecialMentionsTypes</v>
          </cell>
        </row>
        <row r="207">
          <cell r="C207" t="str">
            <v>DITRPALicensingDocumentTypes</v>
          </cell>
        </row>
        <row r="208">
          <cell r="C208" t="str">
            <v>EIDRAuthorisationDocuments</v>
          </cell>
        </row>
        <row r="209">
          <cell r="C209" t="str">
            <v>CFSPAuthorisationDocuments</v>
          </cell>
        </row>
        <row r="210">
          <cell r="C210" t="str">
            <v>AEOAuthorisationDocuments</v>
          </cell>
        </row>
        <row r="211">
          <cell r="C211" t="str">
            <v>SpecialProcedureAuthDocs</v>
          </cell>
        </row>
        <row r="212">
          <cell r="C212" t="str">
            <v>TypeUCustomsWarehouseAuthDocs</v>
          </cell>
        </row>
        <row r="213">
          <cell r="C213" t="str">
            <v>TypeYZCustomsWarehouseAuthDocs</v>
          </cell>
        </row>
        <row r="214">
          <cell r="C214" t="str">
            <v>DeductionRelativeValuationAdjustmentTypes</v>
          </cell>
        </row>
        <row r="215">
          <cell r="C215" t="str">
            <v>MonetaryValuationAdjustmentTypes</v>
          </cell>
        </row>
        <row r="216">
          <cell r="C216" t="str">
            <v>DiscountPercentageValuationAdjustmentTypes</v>
          </cell>
        </row>
        <row r="217">
          <cell r="C217" t="str">
            <v>SimpAuthValuationAdjustmentTypes</v>
          </cell>
        </row>
        <row r="218">
          <cell r="C218" t="str">
            <v>DiscountAmountValuationAdjustmentTypes</v>
          </cell>
        </row>
        <row r="219">
          <cell r="C219" t="str">
            <v>ExportLicensingDocumentTypes</v>
          </cell>
        </row>
        <row r="220">
          <cell r="C220" t="str">
            <v>AdditionanddeductionSpecialProcedureTypes</v>
          </cell>
        </row>
        <row r="221">
          <cell r="C221" t="str">
            <v>AdditionalInformationItemPrice</v>
          </cell>
        </row>
        <row r="222">
          <cell r="C222" t="str">
            <v>SuspensionCustomsDuty</v>
          </cell>
        </row>
        <row r="223">
          <cell r="C223" t="str">
            <v>SuspensionCustomsDutyRequestedProcedures</v>
          </cell>
        </row>
        <row r="224">
          <cell r="C224" t="str">
            <v>SuspensionCustomsDutyPreviousProcedures</v>
          </cell>
        </row>
        <row r="225">
          <cell r="C225" t="str">
            <v>SuspensionCustomsDutyAdditionalProcedures</v>
          </cell>
        </row>
        <row r="226">
          <cell r="C226" t="str">
            <v>SecurityPaymentMethods</v>
          </cell>
        </row>
        <row r="227">
          <cell r="C227" t="str">
            <v>AdditionalDutySecurityTypes</v>
          </cell>
        </row>
        <row r="228">
          <cell r="C228" t="str">
            <v>ProvisionalDutySecurityTypes</v>
          </cell>
        </row>
        <row r="229">
          <cell r="C229" t="str">
            <v>PreferentialTariffSecurityTypes</v>
          </cell>
        </row>
        <row r="230">
          <cell r="C230" t="str">
            <v>SuspensionSecurityTypes</v>
          </cell>
        </row>
        <row r="231">
          <cell r="C231" t="str">
            <v>ReliefSecurityTypes</v>
          </cell>
        </row>
        <row r="232">
          <cell r="C232" t="str">
            <v>TypeRCustomsWarehouseAuthDocs</v>
          </cell>
        </row>
        <row r="233">
          <cell r="C233" t="str">
            <v>AdditionalDocumentNotAllowed</v>
          </cell>
        </row>
        <row r="234">
          <cell r="C234" t="str">
            <v>ValuationMethodIndicators</v>
          </cell>
        </row>
        <row r="235">
          <cell r="C235" t="str">
            <v>CSEAuthorisationDocuments</v>
          </cell>
        </row>
        <row r="236">
          <cell r="C236" t="str">
            <v>MOUAuthorisationDocuments</v>
          </cell>
        </row>
        <row r="237">
          <cell r="C237" t="str">
            <v>NonRejectingValidationResults</v>
          </cell>
        </row>
        <row r="238">
          <cell r="C238" t="str">
            <v>RejectingValidationResults</v>
          </cell>
        </row>
        <row r="239">
          <cell r="C239" t="str">
            <v>PotentiallyRejectingValidationResults</v>
          </cell>
        </row>
        <row r="240">
          <cell r="C240" t="str">
            <v>RevalidationRequiringValidationResults</v>
          </cell>
        </row>
        <row r="241">
          <cell r="C241" t="str">
            <v>CredibilityValidationResults</v>
          </cell>
        </row>
        <row r="242">
          <cell r="C242" t="str">
            <v>UnLocodesA</v>
          </cell>
        </row>
        <row r="243">
          <cell r="C243" t="str">
            <v>UnLocodesB</v>
          </cell>
        </row>
        <row r="244">
          <cell r="C244" t="str">
            <v>UnLocodesC</v>
          </cell>
        </row>
        <row r="245">
          <cell r="C245" t="str">
            <v>UnLocodesD</v>
          </cell>
        </row>
        <row r="246">
          <cell r="C246" t="str">
            <v>NonStandardCountries</v>
          </cell>
        </row>
        <row r="247">
          <cell r="C247" t="str">
            <v>NonDITALVSLicensingDocumentTypes</v>
          </cell>
        </row>
        <row r="248">
          <cell r="C248" t="str">
            <v>DITLicensingDocumentTypes</v>
          </cell>
        </row>
        <row r="249">
          <cell r="C249" t="str">
            <v>ExportInvalidDestinations</v>
          </cell>
        </row>
        <row r="250">
          <cell r="C250" t="str">
            <v>TypeYCustomsWarehouseAuthDocs</v>
          </cell>
        </row>
        <row r="251">
          <cell r="C251" t="str">
            <v>TypeZCustomsWarehouseAuthDocs</v>
          </cell>
        </row>
        <row r="252">
          <cell r="C252" t="str">
            <v>ExportDocumentReasonStatuses</v>
          </cell>
        </row>
        <row r="253">
          <cell r="C253" t="str">
            <v>UnLocodes</v>
          </cell>
        </row>
        <row r="254">
          <cell r="C254" t="str">
            <v>NonALVSLicensingDocumentTypes</v>
          </cell>
        </row>
        <row r="256">
          <cell r="C256" t="str">
            <v>RestrictionsAndProhibitionsLicense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160.621662384263" createdVersion="8" refreshedVersion="8" minRefreshableVersion="3" recordCount="36" xr:uid="{9E4E5081-7BE5-4F18-991E-A45101769262}">
  <cacheSource type="worksheet">
    <worksheetSource ref="B1:B1048576" sheet="2. External_20260319"/>
  </cacheSource>
  <cacheFields count="1">
    <cacheField name="Classification" numFmtId="0">
      <sharedItems containsBlank="1" count="11">
        <s v="Pointers / Notification Messages"/>
        <s v="Calculation"/>
        <s v="Processing Failure"/>
        <s v="Amendment"/>
        <s v="REJ instead of ACC"/>
        <s v="ACC instead of REG"/>
        <s v="Measures"/>
        <s v="Inventory Linking"/>
        <s v="Exports"/>
        <s v="Financial Statement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r>
  <r>
    <x v="1"/>
  </r>
  <r>
    <x v="2"/>
  </r>
  <r>
    <x v="2"/>
  </r>
  <r>
    <x v="2"/>
  </r>
  <r>
    <x v="3"/>
  </r>
  <r>
    <x v="0"/>
  </r>
  <r>
    <x v="0"/>
  </r>
  <r>
    <x v="0"/>
  </r>
  <r>
    <x v="1"/>
  </r>
  <r>
    <x v="1"/>
  </r>
  <r>
    <x v="2"/>
  </r>
  <r>
    <x v="1"/>
  </r>
  <r>
    <x v="1"/>
  </r>
  <r>
    <x v="4"/>
  </r>
  <r>
    <x v="0"/>
  </r>
  <r>
    <x v="1"/>
  </r>
  <r>
    <x v="5"/>
  </r>
  <r>
    <x v="6"/>
  </r>
  <r>
    <x v="6"/>
  </r>
  <r>
    <x v="6"/>
  </r>
  <r>
    <x v="7"/>
  </r>
  <r>
    <x v="3"/>
  </r>
  <r>
    <x v="8"/>
  </r>
  <r>
    <x v="8"/>
  </r>
  <r>
    <x v="2"/>
  </r>
  <r>
    <x v="7"/>
  </r>
  <r>
    <x v="2"/>
  </r>
  <r>
    <x v="0"/>
  </r>
  <r>
    <x v="7"/>
  </r>
  <r>
    <x v="8"/>
  </r>
  <r>
    <x v="4"/>
  </r>
  <r>
    <x v="5"/>
  </r>
  <r>
    <x v="9"/>
  </r>
  <r>
    <x v="2"/>
  </r>
  <r>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227586-40B6-4FC0-B66D-443E71BC97A0}" name="PivotTable1" cacheId="10" applyNumberFormats="0" applyBorderFormats="0" applyFontFormats="0" applyPatternFormats="0" applyAlignmentFormats="0" applyWidthHeightFormats="1" dataCaption="Values" updatedVersion="8" minRefreshableVersion="3" useAutoFormatting="1" rowGrandTotals="0" itemPrintTitles="1" createdVersion="5" indent="0" outline="1" outlineData="1" multipleFieldFilters="0" chartFormat="38">
  <location ref="H17:I27" firstHeaderRow="1" firstDataRow="1" firstDataCol="1"/>
  <pivotFields count="1">
    <pivotField axis="axisRow" dataField="1" showAll="0">
      <items count="12">
        <item x="0"/>
        <item h="1" x="10"/>
        <item x="8"/>
        <item x="2"/>
        <item x="1"/>
        <item x="4"/>
        <item x="3"/>
        <item x="6"/>
        <item x="5"/>
        <item x="7"/>
        <item x="9"/>
        <item t="default"/>
      </items>
    </pivotField>
  </pivotFields>
  <rowFields count="1">
    <field x="0"/>
  </rowFields>
  <rowItems count="10">
    <i>
      <x/>
    </i>
    <i>
      <x v="2"/>
    </i>
    <i>
      <x v="3"/>
    </i>
    <i>
      <x v="4"/>
    </i>
    <i>
      <x v="5"/>
    </i>
    <i>
      <x v="6"/>
    </i>
    <i>
      <x v="7"/>
    </i>
    <i>
      <x v="8"/>
    </i>
    <i>
      <x v="9"/>
    </i>
    <i>
      <x v="10"/>
    </i>
  </rowItems>
  <colItems count="1">
    <i/>
  </colItems>
  <dataFields count="1">
    <dataField name="Count of Classification" fld="0" subtotal="count" baseField="0" baseItem="0"/>
  </dataFields>
  <chartFormats count="10">
    <chartFormat chart="15" format="23" series="1">
      <pivotArea type="data" outline="0" fieldPosition="0">
        <references count="1">
          <reference field="4294967294" count="1" selected="0">
            <x v="0"/>
          </reference>
        </references>
      </pivotArea>
    </chartFormat>
    <chartFormat chart="15" format="26">
      <pivotArea type="data" outline="0" fieldPosition="0">
        <references count="2">
          <reference field="4294967294" count="1" selected="0">
            <x v="0"/>
          </reference>
          <reference field="0" count="1" selected="0">
            <x v="0"/>
          </reference>
        </references>
      </pivotArea>
    </chartFormat>
    <chartFormat chart="12" format="25" series="1">
      <pivotArea type="data" outline="0" fieldPosition="0">
        <references count="1">
          <reference field="4294967294" count="1" selected="0">
            <x v="0"/>
          </reference>
        </references>
      </pivotArea>
    </chartFormat>
    <chartFormat chart="12" format="27">
      <pivotArea type="data" outline="0" fieldPosition="0">
        <references count="2">
          <reference field="4294967294" count="1" selected="0">
            <x v="0"/>
          </reference>
          <reference field="0" count="1" selected="0">
            <x v="0"/>
          </reference>
        </references>
      </pivotArea>
    </chartFormat>
    <chartFormat chart="12" format="28">
      <pivotArea type="data" outline="0" fieldPosition="0">
        <references count="2">
          <reference field="4294967294" count="1" selected="0">
            <x v="0"/>
          </reference>
          <reference field="0" count="1" selected="0">
            <x v="2"/>
          </reference>
        </references>
      </pivotArea>
    </chartFormat>
    <chartFormat chart="12" format="30">
      <pivotArea type="data" outline="0" fieldPosition="0">
        <references count="2">
          <reference field="4294967294" count="1" selected="0">
            <x v="0"/>
          </reference>
          <reference field="0" count="1" selected="0">
            <x v="3"/>
          </reference>
        </references>
      </pivotArea>
    </chartFormat>
    <chartFormat chart="12" format="31">
      <pivotArea type="data" outline="0" fieldPosition="0">
        <references count="2">
          <reference field="4294967294" count="1" selected="0">
            <x v="0"/>
          </reference>
          <reference field="0" count="1" selected="0">
            <x v="4"/>
          </reference>
        </references>
      </pivotArea>
    </chartFormat>
    <chartFormat chart="12" format="32">
      <pivotArea type="data" outline="0" fieldPosition="0">
        <references count="2">
          <reference field="4294967294" count="1" selected="0">
            <x v="0"/>
          </reference>
          <reference field="0" count="1" selected="0">
            <x v="5"/>
          </reference>
        </references>
      </pivotArea>
    </chartFormat>
    <chartFormat chart="12" format="33">
      <pivotArea type="data" outline="0" fieldPosition="0">
        <references count="2">
          <reference field="4294967294" count="1" selected="0">
            <x v="0"/>
          </reference>
          <reference field="0" count="1" selected="0">
            <x v="6"/>
          </reference>
        </references>
      </pivotArea>
    </chartFormat>
    <chartFormat chart="12" format="34">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F1048559" totalsRowShown="0" headerRowDxfId="9" dataDxfId="8">
  <autoFilter ref="A1:F1048559" xr:uid="{00000000-0009-0000-0100-000003000000}"/>
  <tableColumns count="6">
    <tableColumn id="1" xr3:uid="{00000000-0010-0000-0000-000001000000}" name="Reference ID" dataDxfId="7"/>
    <tableColumn id="2" xr3:uid="{00000000-0010-0000-0000-000002000000}" name="Classification" dataDxfId="6"/>
    <tableColumn id="3" xr3:uid="{00000000-0010-0000-0000-000003000000}" name="Description" dataDxfId="5"/>
    <tableColumn id="4" xr3:uid="{00000000-0010-0000-0000-000004000000}" name="Resolved/Closed Date" dataDxfId="4"/>
    <tableColumn id="5" xr3:uid="{00000000-0010-0000-0000-000005000000}" name="Raised as an external priority KEL?" dataDxfId="3"/>
    <tableColumn id="6" xr3:uid="{00000000-0010-0000-0000-000006000000}" name="Additional Information" dataDxfId="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5.bin"/><Relationship Id="rId1" Type="http://schemas.openxmlformats.org/officeDocument/2006/relationships/hyperlink" Target="https://www.gov.uk/government/publications/cds-uk-trade-tariff-volume-3-import-declaration-completion-guide/group-4-valuation-information-and-taxes"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Q299"/>
  <sheetViews>
    <sheetView showGridLines="0" tabSelected="1" topLeftCell="A18" zoomScale="50" zoomScaleNormal="106" workbookViewId="0">
      <selection activeCell="J18" sqref="J18"/>
    </sheetView>
  </sheetViews>
  <sheetFormatPr defaultRowHeight="14.5" x14ac:dyDescent="0.35"/>
  <cols>
    <col min="1" max="1" width="2" style="37" customWidth="1"/>
    <col min="2" max="2" width="9.1796875" customWidth="1"/>
    <col min="3" max="3" width="9.7265625" customWidth="1"/>
    <col min="4" max="4" width="9.1796875" customWidth="1"/>
    <col min="5" max="5" width="15.453125" customWidth="1"/>
    <col min="6" max="6" width="6.453125" customWidth="1"/>
    <col min="7" max="7" width="9.1796875" customWidth="1"/>
    <col min="8" max="8" width="14.7265625" customWidth="1"/>
    <col min="9" max="9" width="17.453125" customWidth="1"/>
    <col min="11" max="11" width="5.26953125" customWidth="1"/>
    <col min="13" max="13" width="9.1796875" customWidth="1"/>
    <col min="14" max="15" width="5.1796875" customWidth="1"/>
    <col min="16" max="16" width="24.26953125" customWidth="1"/>
    <col min="18" max="18" width="5.7265625" customWidth="1"/>
    <col min="19" max="19" width="4.7265625" customWidth="1"/>
    <col min="20" max="20" width="9.1796875" customWidth="1"/>
    <col min="28" max="28" width="13.54296875" customWidth="1"/>
    <col min="29" max="29" width="2.81640625" style="37" customWidth="1"/>
    <col min="30" max="43" width="9" style="37"/>
  </cols>
  <sheetData>
    <row r="1" spans="2:28" s="37" customFormat="1" ht="11.65" customHeight="1" x14ac:dyDescent="0.35"/>
    <row r="2" spans="2:28" x14ac:dyDescent="0.35">
      <c r="B2" s="36"/>
      <c r="C2" s="36"/>
      <c r="D2" s="36"/>
      <c r="E2" s="36"/>
      <c r="F2" s="36"/>
      <c r="G2" s="36"/>
      <c r="H2" s="36"/>
      <c r="I2" s="36"/>
      <c r="J2" s="36"/>
      <c r="K2" s="36"/>
      <c r="L2" s="36"/>
      <c r="M2" s="36"/>
      <c r="N2" s="36"/>
      <c r="O2" s="36"/>
      <c r="P2" s="36"/>
      <c r="Q2" s="36"/>
      <c r="R2" s="36"/>
      <c r="S2" s="36"/>
      <c r="T2" s="36"/>
      <c r="U2" s="36"/>
      <c r="V2" s="36"/>
      <c r="W2" s="36"/>
      <c r="X2" s="36"/>
      <c r="Y2" s="36"/>
      <c r="Z2" s="36"/>
      <c r="AA2" s="36"/>
      <c r="AB2" s="36"/>
    </row>
    <row r="3" spans="2:28" x14ac:dyDescent="0.35">
      <c r="B3" s="36"/>
      <c r="C3" s="36"/>
      <c r="D3" s="36"/>
      <c r="E3" s="36"/>
      <c r="F3" s="36"/>
      <c r="G3" s="36"/>
      <c r="H3" s="36"/>
      <c r="I3" s="36"/>
      <c r="J3" s="36"/>
      <c r="K3" s="36"/>
      <c r="L3" s="36"/>
      <c r="M3" s="36"/>
      <c r="N3" s="36"/>
      <c r="O3" s="36"/>
      <c r="P3" s="36"/>
      <c r="Q3" s="36"/>
      <c r="R3" s="36"/>
      <c r="S3" s="36"/>
      <c r="T3" s="36"/>
      <c r="U3" s="36"/>
      <c r="V3" s="36"/>
      <c r="W3" s="36"/>
      <c r="X3" s="36"/>
      <c r="Y3" s="36"/>
      <c r="Z3" s="36"/>
      <c r="AA3" s="36"/>
      <c r="AB3" s="36"/>
    </row>
    <row r="4" spans="2:28" x14ac:dyDescent="0.35">
      <c r="B4" s="36"/>
      <c r="C4" s="36"/>
      <c r="D4" s="36"/>
      <c r="E4" s="36"/>
      <c r="F4" s="36"/>
      <c r="G4" s="36"/>
      <c r="H4" s="36"/>
      <c r="I4" s="36"/>
      <c r="J4" s="36"/>
      <c r="K4" s="36"/>
      <c r="L4" s="36"/>
      <c r="M4" s="36"/>
      <c r="N4" s="36"/>
      <c r="O4" s="36"/>
      <c r="P4" s="36"/>
      <c r="Q4" s="36"/>
      <c r="R4" s="36"/>
      <c r="S4" s="36"/>
      <c r="T4" s="36"/>
      <c r="U4" s="36"/>
      <c r="V4" s="36"/>
      <c r="W4" s="36"/>
      <c r="X4" s="36"/>
      <c r="Y4" s="36"/>
      <c r="Z4" s="36"/>
      <c r="AA4" s="36"/>
      <c r="AB4" s="36"/>
    </row>
    <row r="5" spans="2:28" ht="175.5" customHeight="1" x14ac:dyDescent="0.35">
      <c r="B5" s="36"/>
      <c r="C5" s="36"/>
      <c r="D5" s="36"/>
      <c r="E5" s="36"/>
      <c r="F5" s="36"/>
      <c r="G5" s="36"/>
      <c r="H5" s="36"/>
      <c r="I5" s="36"/>
      <c r="J5" s="36"/>
      <c r="K5" s="36"/>
      <c r="L5" s="36"/>
      <c r="M5" s="36"/>
      <c r="N5" s="36"/>
      <c r="O5" s="36"/>
      <c r="P5" s="36"/>
      <c r="Q5" s="36"/>
      <c r="R5" s="36"/>
      <c r="S5" s="36"/>
      <c r="T5" s="36"/>
      <c r="U5" s="36"/>
      <c r="V5" s="36"/>
      <c r="W5" s="36"/>
      <c r="X5" s="36"/>
      <c r="Y5" s="36"/>
      <c r="Z5" s="36"/>
      <c r="AA5" s="36"/>
      <c r="AB5" s="36"/>
    </row>
    <row r="6" spans="2:28" s="37" customFormat="1" ht="13.15" customHeight="1" x14ac:dyDescent="0.35"/>
    <row r="7" spans="2:28" x14ac:dyDescent="0.35">
      <c r="B7" s="36"/>
      <c r="C7" s="36"/>
      <c r="D7" s="36"/>
      <c r="E7" s="36"/>
      <c r="F7" s="36"/>
      <c r="G7" s="36"/>
      <c r="H7" s="36"/>
      <c r="I7" s="36"/>
      <c r="J7" s="36"/>
      <c r="K7" s="36"/>
      <c r="L7" s="36"/>
      <c r="M7" s="36"/>
      <c r="N7" s="36"/>
      <c r="O7" s="36"/>
      <c r="P7" s="36"/>
      <c r="Q7" s="36"/>
      <c r="R7" s="36"/>
      <c r="S7" s="36"/>
      <c r="T7" s="36"/>
      <c r="U7" s="36"/>
      <c r="V7" s="36"/>
      <c r="W7" s="36"/>
      <c r="X7" s="36"/>
      <c r="Y7" s="36"/>
      <c r="Z7" s="36"/>
      <c r="AA7" s="36"/>
      <c r="AB7" s="36"/>
    </row>
    <row r="8" spans="2:28" x14ac:dyDescent="0.35">
      <c r="B8" s="36"/>
      <c r="C8" s="36"/>
      <c r="D8" s="36"/>
      <c r="E8" s="36"/>
      <c r="F8" s="36"/>
      <c r="G8" s="36"/>
      <c r="H8" s="36"/>
      <c r="I8" s="36"/>
      <c r="J8" s="36"/>
      <c r="K8" s="36"/>
      <c r="L8" s="36"/>
      <c r="M8" s="36"/>
      <c r="N8" s="36"/>
      <c r="O8" s="36"/>
      <c r="P8" s="36"/>
      <c r="Q8" s="36"/>
      <c r="R8" s="36"/>
      <c r="S8" s="36"/>
      <c r="T8" s="36"/>
      <c r="U8" s="36"/>
      <c r="V8" s="36"/>
      <c r="W8" s="36"/>
      <c r="X8" s="36"/>
      <c r="Y8" s="36"/>
      <c r="Z8" s="36"/>
      <c r="AA8" s="36"/>
      <c r="AB8" s="36"/>
    </row>
    <row r="9" spans="2:28" x14ac:dyDescent="0.35">
      <c r="B9" s="36"/>
      <c r="C9" s="36"/>
      <c r="D9" s="36"/>
      <c r="E9" s="36"/>
      <c r="F9" s="36"/>
      <c r="G9" s="36"/>
      <c r="H9" s="36"/>
      <c r="I9" s="36"/>
      <c r="J9" s="36"/>
      <c r="K9" s="36"/>
      <c r="L9" s="36"/>
      <c r="M9" s="36"/>
      <c r="N9" s="36"/>
      <c r="O9" s="36"/>
      <c r="P9" s="36"/>
      <c r="Q9" s="36"/>
      <c r="R9" s="36"/>
      <c r="S9" s="36"/>
      <c r="T9" s="36"/>
      <c r="U9" s="36"/>
      <c r="V9" s="36"/>
      <c r="W9" s="36"/>
      <c r="X9" s="36"/>
      <c r="Y9" s="36"/>
      <c r="Z9" s="36"/>
      <c r="AA9" s="36"/>
      <c r="AB9" s="36"/>
    </row>
    <row r="10" spans="2:28" ht="23.25" customHeight="1" x14ac:dyDescent="0.35">
      <c r="B10" s="36"/>
      <c r="C10" s="36"/>
      <c r="D10" s="36"/>
      <c r="E10" s="41" t="s">
        <v>2701</v>
      </c>
      <c r="F10" s="36"/>
      <c r="G10" s="36"/>
      <c r="H10" s="36"/>
      <c r="I10" s="38" t="s">
        <v>2705</v>
      </c>
      <c r="J10" s="36"/>
      <c r="K10" s="36"/>
      <c r="L10" s="36"/>
      <c r="M10" s="36"/>
      <c r="N10" s="36"/>
      <c r="O10" s="36"/>
      <c r="P10" s="36"/>
      <c r="Q10" s="36"/>
      <c r="R10" s="36"/>
      <c r="S10" s="36"/>
      <c r="T10" s="36"/>
      <c r="U10" s="36"/>
      <c r="V10" s="36"/>
      <c r="W10" s="36"/>
      <c r="X10" s="36"/>
      <c r="Y10" s="36"/>
      <c r="Z10" s="36"/>
      <c r="AA10" s="36"/>
      <c r="AB10" s="36"/>
    </row>
    <row r="11" spans="2:28" x14ac:dyDescent="0.35">
      <c r="B11" s="36"/>
      <c r="C11" s="36"/>
      <c r="D11" s="36"/>
      <c r="E11" s="36"/>
      <c r="F11" s="36"/>
      <c r="G11" s="36"/>
      <c r="H11" s="36"/>
      <c r="I11" s="36"/>
      <c r="J11" s="36"/>
      <c r="K11" s="36"/>
      <c r="L11" s="36"/>
      <c r="M11" s="36"/>
      <c r="N11" s="36"/>
      <c r="O11" s="36"/>
      <c r="P11" s="36"/>
      <c r="Q11" s="36"/>
      <c r="R11" s="36"/>
      <c r="S11" s="36"/>
      <c r="T11" s="36"/>
      <c r="U11" s="36"/>
      <c r="V11" s="36"/>
      <c r="W11" s="36"/>
      <c r="X11" s="36"/>
      <c r="Y11" s="36"/>
      <c r="Z11" s="36"/>
      <c r="AA11" s="36"/>
      <c r="AB11" s="36"/>
    </row>
    <row r="12" spans="2:28" x14ac:dyDescent="0.35">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row>
    <row r="13" spans="2:28" x14ac:dyDescent="0.35">
      <c r="B13" s="36"/>
      <c r="C13" s="36"/>
      <c r="D13" s="36"/>
      <c r="E13" s="36"/>
      <c r="F13" s="36"/>
      <c r="G13" s="36"/>
      <c r="H13" s="36"/>
      <c r="I13" s="36"/>
      <c r="J13" s="36"/>
      <c r="K13" s="36"/>
      <c r="L13" s="36"/>
      <c r="M13" s="36"/>
      <c r="N13" s="36"/>
      <c r="O13" s="36"/>
      <c r="P13" s="36"/>
      <c r="Q13" s="36"/>
      <c r="R13" s="36"/>
      <c r="S13" s="36"/>
      <c r="T13" s="36"/>
      <c r="U13" s="36"/>
      <c r="V13" s="36"/>
      <c r="W13" s="36"/>
      <c r="X13" s="36"/>
      <c r="Y13" s="36"/>
      <c r="Z13" s="36"/>
      <c r="AA13" s="36"/>
      <c r="AB13" s="36"/>
    </row>
    <row r="14" spans="2:28" x14ac:dyDescent="0.35">
      <c r="B14" s="36"/>
      <c r="C14" s="36"/>
      <c r="D14" s="36"/>
      <c r="E14" s="36"/>
      <c r="F14" s="36"/>
      <c r="G14" s="36"/>
      <c r="H14" s="36"/>
      <c r="I14" s="36"/>
      <c r="J14" s="36"/>
      <c r="K14" s="36"/>
      <c r="L14" s="36"/>
      <c r="M14" s="36"/>
      <c r="N14" s="36"/>
      <c r="O14" s="36"/>
      <c r="P14" s="36"/>
      <c r="Q14" s="36"/>
      <c r="R14" s="36"/>
      <c r="S14" s="36"/>
      <c r="T14" s="36"/>
      <c r="U14" s="36"/>
      <c r="V14" s="36"/>
      <c r="W14" s="36"/>
      <c r="X14" s="36"/>
      <c r="Y14" s="36"/>
      <c r="Z14" s="36"/>
      <c r="AA14" s="36"/>
      <c r="AB14" s="36"/>
    </row>
    <row r="15" spans="2:28" x14ac:dyDescent="0.35">
      <c r="B15" s="36"/>
      <c r="C15" s="36"/>
      <c r="D15" s="36"/>
      <c r="E15" s="36"/>
      <c r="F15" s="36"/>
      <c r="G15" s="36"/>
      <c r="H15" s="36"/>
      <c r="I15" s="36"/>
      <c r="J15" s="36"/>
      <c r="K15" s="36"/>
      <c r="L15" s="36"/>
      <c r="M15" s="36"/>
      <c r="N15" s="36"/>
      <c r="O15" s="36"/>
      <c r="P15" s="36"/>
      <c r="Q15" s="36"/>
      <c r="R15" s="36"/>
      <c r="S15" s="36"/>
      <c r="T15" s="36"/>
      <c r="U15" s="36"/>
      <c r="V15" s="36"/>
      <c r="W15" s="36"/>
      <c r="X15" s="36"/>
      <c r="Y15" s="36"/>
      <c r="Z15" s="36"/>
      <c r="AA15" s="36"/>
      <c r="AB15" s="36"/>
    </row>
    <row r="16" spans="2:28" x14ac:dyDescent="0.35">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43" x14ac:dyDescent="0.35">
      <c r="B17" s="36"/>
      <c r="C17" s="36"/>
      <c r="D17" s="36"/>
      <c r="E17" s="36"/>
      <c r="F17" s="36"/>
      <c r="G17" s="36"/>
      <c r="H17" s="36"/>
      <c r="I17" s="36"/>
      <c r="J17" s="36"/>
      <c r="K17" s="36"/>
      <c r="L17" s="36"/>
      <c r="M17" s="36"/>
      <c r="N17" s="36"/>
      <c r="O17" s="36"/>
      <c r="P17" s="36"/>
      <c r="Q17" s="36"/>
      <c r="R17" s="36"/>
      <c r="S17" s="36"/>
      <c r="T17" s="36"/>
      <c r="U17" s="36"/>
      <c r="V17" s="36"/>
      <c r="W17" s="36"/>
      <c r="X17" s="36"/>
      <c r="Y17" s="36"/>
      <c r="Z17" s="36"/>
      <c r="AA17" s="36"/>
      <c r="AB17" s="36"/>
    </row>
    <row r="18" spans="1:43" x14ac:dyDescent="0.35">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row>
    <row r="19" spans="1:43" x14ac:dyDescent="0.35">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row>
    <row r="20" spans="1:43" s="81" customFormat="1" ht="45" customHeight="1" x14ac:dyDescent="0.35">
      <c r="A20" s="79"/>
      <c r="B20" s="60"/>
      <c r="C20" s="227" t="s">
        <v>1</v>
      </c>
      <c r="D20" s="227"/>
      <c r="E20" s="60"/>
      <c r="F20" s="227" t="s">
        <v>2</v>
      </c>
      <c r="G20" s="227"/>
      <c r="H20" s="60"/>
      <c r="I20" s="80" t="s">
        <v>3</v>
      </c>
      <c r="J20" s="60"/>
      <c r="K20" s="60"/>
      <c r="L20" s="80" t="s">
        <v>4</v>
      </c>
      <c r="M20" s="60"/>
      <c r="N20" s="60"/>
      <c r="O20" s="60"/>
      <c r="P20" s="82" t="s">
        <v>5</v>
      </c>
      <c r="Q20" s="60"/>
      <c r="R20" s="60"/>
      <c r="S20" s="60"/>
      <c r="T20" s="60"/>
      <c r="U20" s="60"/>
      <c r="V20" s="60"/>
      <c r="W20" s="60"/>
      <c r="X20" s="60"/>
      <c r="Y20" s="60"/>
      <c r="Z20" s="60"/>
      <c r="AA20" s="60"/>
      <c r="AB20" s="60"/>
      <c r="AC20" s="79"/>
      <c r="AD20" s="79"/>
      <c r="AE20" s="79"/>
      <c r="AF20" s="79"/>
      <c r="AG20" s="79"/>
      <c r="AH20" s="79"/>
      <c r="AI20" s="79"/>
      <c r="AJ20" s="79"/>
      <c r="AK20" s="79"/>
      <c r="AL20" s="79"/>
      <c r="AM20" s="79"/>
      <c r="AN20" s="79"/>
      <c r="AO20" s="79"/>
      <c r="AP20" s="79"/>
      <c r="AQ20" s="79"/>
    </row>
    <row r="21" spans="1:43" x14ac:dyDescent="0.35">
      <c r="B21" s="65"/>
      <c r="C21" s="228">
        <f>INDEX('1. Changelog'!F9:F203, MATCH($E$10,'1. Changelog'!D9:D203,0))</f>
        <v>634</v>
      </c>
      <c r="D21" s="228"/>
      <c r="E21" s="66"/>
      <c r="F21" s="228">
        <f>INDEX('1. Changelog'!E9:E203, MATCH($E$10,'1. Changelog'!D9:D203,0))</f>
        <v>0</v>
      </c>
      <c r="G21" s="228"/>
      <c r="H21" s="228"/>
      <c r="I21" s="229"/>
      <c r="J21" s="66"/>
      <c r="K21" s="66"/>
      <c r="L21" s="228">
        <f>INDEX('1. Changelog'!H9:H203, MATCH($E$10,'1. Changelog'!D9:D203,0))</f>
        <v>0</v>
      </c>
      <c r="M21" s="228"/>
      <c r="N21" s="66"/>
      <c r="O21" s="66"/>
      <c r="P21" s="228">
        <f>INDEX('1. Changelog'!I9:I203, MATCH($E$10,'1. Changelog'!D9:D203,0))</f>
        <v>662</v>
      </c>
      <c r="Q21" s="36"/>
      <c r="R21" s="36"/>
      <c r="S21" s="36"/>
      <c r="T21" s="36"/>
      <c r="U21" s="36"/>
      <c r="V21" s="36"/>
      <c r="W21" s="36"/>
      <c r="X21" s="36"/>
      <c r="Y21" s="36"/>
      <c r="Z21" s="36"/>
      <c r="AA21" s="36"/>
      <c r="AB21" s="36"/>
    </row>
    <row r="22" spans="1:43" x14ac:dyDescent="0.35">
      <c r="B22" s="65"/>
      <c r="C22" s="228"/>
      <c r="D22" s="228"/>
      <c r="E22" s="66"/>
      <c r="F22" s="228"/>
      <c r="G22" s="228"/>
      <c r="H22" s="228"/>
      <c r="I22" s="229"/>
      <c r="J22" s="66"/>
      <c r="K22" s="66"/>
      <c r="L22" s="228"/>
      <c r="M22" s="228"/>
      <c r="N22" s="66"/>
      <c r="O22" s="66"/>
      <c r="P22" s="228"/>
      <c r="Q22" s="36"/>
      <c r="R22" s="36"/>
      <c r="S22" s="36"/>
      <c r="T22" s="36"/>
      <c r="U22" s="36"/>
      <c r="V22" s="36"/>
      <c r="W22" s="36"/>
      <c r="X22" s="36"/>
      <c r="Y22" s="36"/>
      <c r="Z22" s="36"/>
      <c r="AA22" s="36"/>
      <c r="AB22" s="36"/>
    </row>
    <row r="23" spans="1:43" x14ac:dyDescent="0.35">
      <c r="B23" s="65"/>
      <c r="C23" s="228"/>
      <c r="D23" s="228"/>
      <c r="E23" s="66"/>
      <c r="F23" s="228"/>
      <c r="G23" s="228"/>
      <c r="H23" s="228"/>
      <c r="I23" s="229"/>
      <c r="J23" s="66"/>
      <c r="K23" s="66"/>
      <c r="L23" s="228"/>
      <c r="M23" s="228"/>
      <c r="N23" s="66"/>
      <c r="O23" s="66"/>
      <c r="P23" s="228"/>
      <c r="Q23" s="36"/>
      <c r="R23" s="36"/>
      <c r="S23" s="36"/>
      <c r="T23" s="36"/>
      <c r="U23" s="36"/>
      <c r="V23" s="36"/>
      <c r="W23" s="36"/>
      <c r="X23" s="36"/>
      <c r="Y23" s="36"/>
      <c r="Z23" s="36"/>
      <c r="AA23" s="36"/>
      <c r="AB23" s="36"/>
    </row>
    <row r="24" spans="1:43" x14ac:dyDescent="0.35">
      <c r="B24" s="65"/>
      <c r="C24" s="228"/>
      <c r="D24" s="228"/>
      <c r="E24" s="66"/>
      <c r="F24" s="228"/>
      <c r="G24" s="228"/>
      <c r="H24" s="228"/>
      <c r="I24" s="229"/>
      <c r="J24" s="66"/>
      <c r="K24" s="66"/>
      <c r="L24" s="228"/>
      <c r="M24" s="228"/>
      <c r="N24" s="66"/>
      <c r="O24" s="66"/>
      <c r="P24" s="228"/>
      <c r="Q24" s="36"/>
      <c r="R24" s="36"/>
      <c r="S24" s="36"/>
      <c r="T24" s="36"/>
      <c r="U24" s="36"/>
      <c r="V24" s="36"/>
      <c r="W24" s="36"/>
      <c r="X24" s="36"/>
      <c r="Y24" s="36"/>
      <c r="Z24" s="36"/>
      <c r="AA24" s="36"/>
      <c r="AB24" s="36"/>
    </row>
    <row r="25" spans="1:43" x14ac:dyDescent="0.35">
      <c r="B25" s="65"/>
      <c r="C25" s="228"/>
      <c r="D25" s="228"/>
      <c r="E25" s="66"/>
      <c r="F25" s="228"/>
      <c r="G25" s="228"/>
      <c r="H25" s="228"/>
      <c r="I25" s="229"/>
      <c r="J25" s="66"/>
      <c r="K25" s="66"/>
      <c r="L25" s="228"/>
      <c r="M25" s="228"/>
      <c r="N25" s="66"/>
      <c r="O25" s="66"/>
      <c r="P25" s="228"/>
      <c r="Q25" s="36"/>
      <c r="R25" s="36"/>
      <c r="S25" s="36"/>
      <c r="T25" s="36"/>
      <c r="U25" s="36"/>
      <c r="V25" s="36"/>
      <c r="W25" s="36"/>
      <c r="X25" s="36"/>
      <c r="Y25" s="36"/>
      <c r="Z25" s="36"/>
      <c r="AA25" s="36"/>
      <c r="AB25" s="36"/>
    </row>
    <row r="26" spans="1:43" x14ac:dyDescent="0.35">
      <c r="B26" s="65"/>
      <c r="C26" s="228"/>
      <c r="D26" s="228"/>
      <c r="E26" s="66"/>
      <c r="F26" s="228"/>
      <c r="G26" s="228"/>
      <c r="H26" s="228"/>
      <c r="I26" s="229"/>
      <c r="J26" s="66"/>
      <c r="K26" s="66"/>
      <c r="L26" s="228"/>
      <c r="M26" s="228"/>
      <c r="N26" s="66"/>
      <c r="O26" s="66"/>
      <c r="P26" s="228"/>
      <c r="Q26" s="36"/>
      <c r="R26" s="36"/>
      <c r="S26" s="36"/>
      <c r="T26" s="36"/>
      <c r="U26" s="36"/>
      <c r="V26" s="36"/>
      <c r="W26" s="36"/>
      <c r="X26" s="36"/>
      <c r="Y26" s="36"/>
      <c r="Z26" s="36"/>
      <c r="AA26" s="36"/>
      <c r="AB26" s="36"/>
    </row>
    <row r="27" spans="1:43" x14ac:dyDescent="0.35">
      <c r="B27" s="65"/>
      <c r="C27" s="228"/>
      <c r="D27" s="228"/>
      <c r="E27" s="66"/>
      <c r="F27" s="228"/>
      <c r="G27" s="228"/>
      <c r="H27" s="228"/>
      <c r="I27" s="229"/>
      <c r="J27" s="66"/>
      <c r="K27" s="66"/>
      <c r="L27" s="228"/>
      <c r="M27" s="228"/>
      <c r="N27" s="66"/>
      <c r="O27" s="66"/>
      <c r="P27" s="228"/>
      <c r="Q27" s="36"/>
      <c r="R27" s="36"/>
      <c r="S27" s="36"/>
      <c r="T27" s="36"/>
      <c r="U27" s="36"/>
      <c r="V27" s="36"/>
      <c r="W27" s="36"/>
      <c r="X27" s="36"/>
      <c r="Y27" s="36"/>
      <c r="Z27" s="36"/>
      <c r="AA27" s="36"/>
      <c r="AB27" s="36"/>
    </row>
    <row r="28" spans="1:43" x14ac:dyDescent="0.35">
      <c r="B28" s="65"/>
      <c r="C28" s="228"/>
      <c r="D28" s="228"/>
      <c r="E28" s="66"/>
      <c r="F28" s="228"/>
      <c r="G28" s="228"/>
      <c r="H28" s="228"/>
      <c r="I28" s="229"/>
      <c r="J28" s="66"/>
      <c r="K28" s="66"/>
      <c r="L28" s="228"/>
      <c r="M28" s="228"/>
      <c r="N28" s="66"/>
      <c r="O28" s="66"/>
      <c r="P28" s="228"/>
      <c r="Q28" s="36"/>
      <c r="R28" s="36"/>
      <c r="S28" s="36"/>
      <c r="T28" s="36"/>
      <c r="U28" s="36"/>
      <c r="V28" s="36"/>
      <c r="W28" s="36"/>
      <c r="X28" s="36"/>
      <c r="Y28" s="36"/>
      <c r="Z28" s="36"/>
      <c r="AA28" s="36"/>
      <c r="AB28" s="36"/>
    </row>
    <row r="29" spans="1:43" x14ac:dyDescent="0.35">
      <c r="B29" s="65"/>
      <c r="C29" s="228"/>
      <c r="D29" s="228"/>
      <c r="E29" s="66"/>
      <c r="F29" s="228"/>
      <c r="G29" s="228"/>
      <c r="H29" s="228"/>
      <c r="I29" s="229"/>
      <c r="J29" s="66"/>
      <c r="K29" s="66"/>
      <c r="L29" s="228"/>
      <c r="M29" s="228"/>
      <c r="N29" s="66"/>
      <c r="O29" s="66"/>
      <c r="P29" s="228"/>
      <c r="Q29" s="36"/>
      <c r="R29" s="36"/>
      <c r="S29" s="36"/>
      <c r="T29" s="36"/>
      <c r="U29" s="36"/>
      <c r="V29" s="36"/>
      <c r="W29" s="36"/>
      <c r="X29" s="36"/>
      <c r="Y29" s="36"/>
      <c r="Z29" s="36"/>
      <c r="AA29" s="36"/>
      <c r="AB29" s="36"/>
    </row>
    <row r="30" spans="1:43" x14ac:dyDescent="0.35">
      <c r="B30" s="65"/>
      <c r="C30" s="228"/>
      <c r="D30" s="228"/>
      <c r="E30" s="66"/>
      <c r="F30" s="228"/>
      <c r="G30" s="228"/>
      <c r="H30" s="228"/>
      <c r="I30" s="229"/>
      <c r="J30" s="66"/>
      <c r="K30" s="66"/>
      <c r="L30" s="228"/>
      <c r="M30" s="228"/>
      <c r="N30" s="66"/>
      <c r="O30" s="66"/>
      <c r="P30" s="228"/>
      <c r="Q30" s="36"/>
      <c r="R30" s="36"/>
      <c r="S30" s="36"/>
      <c r="T30" s="36"/>
      <c r="U30" s="36"/>
      <c r="V30" s="36"/>
      <c r="W30" s="36"/>
      <c r="X30" s="36"/>
      <c r="Y30" s="36"/>
      <c r="Z30" s="36"/>
      <c r="AA30" s="36"/>
      <c r="AB30" s="36"/>
    </row>
    <row r="31" spans="1:43" x14ac:dyDescent="0.35">
      <c r="B31" s="66"/>
      <c r="C31" s="228"/>
      <c r="D31" s="228"/>
      <c r="E31" s="66"/>
      <c r="F31" s="228"/>
      <c r="G31" s="228"/>
      <c r="H31" s="228"/>
      <c r="I31" s="229"/>
      <c r="J31" s="66"/>
      <c r="K31" s="66"/>
      <c r="L31" s="228"/>
      <c r="M31" s="228"/>
      <c r="N31" s="66"/>
      <c r="O31" s="66"/>
      <c r="P31" s="228"/>
      <c r="Q31" s="36"/>
      <c r="R31" s="36"/>
      <c r="S31" s="36"/>
      <c r="T31" s="36"/>
      <c r="U31" s="36"/>
      <c r="V31" s="36"/>
      <c r="W31" s="36"/>
      <c r="X31" s="36"/>
      <c r="Y31" s="36"/>
      <c r="Z31" s="36"/>
      <c r="AA31" s="36"/>
      <c r="AB31" s="36"/>
    </row>
    <row r="32" spans="1:43" x14ac:dyDescent="0.35">
      <c r="B32" s="66"/>
      <c r="C32" s="228"/>
      <c r="D32" s="228"/>
      <c r="E32" s="66"/>
      <c r="F32" s="228"/>
      <c r="G32" s="228"/>
      <c r="H32" s="228"/>
      <c r="I32" s="229"/>
      <c r="J32" s="66"/>
      <c r="K32" s="66"/>
      <c r="L32" s="228"/>
      <c r="M32" s="228"/>
      <c r="N32" s="66"/>
      <c r="O32" s="66"/>
      <c r="P32" s="228"/>
      <c r="Q32" s="36"/>
      <c r="R32" s="36"/>
      <c r="S32" s="36"/>
      <c r="T32" s="36"/>
      <c r="U32" s="36"/>
      <c r="V32" s="36"/>
      <c r="W32" s="36"/>
      <c r="X32" s="36"/>
      <c r="Y32" s="36"/>
      <c r="Z32" s="36"/>
      <c r="AA32" s="36"/>
      <c r="AB32" s="36"/>
    </row>
    <row r="33" spans="2:28" x14ac:dyDescent="0.35">
      <c r="B33" s="66"/>
      <c r="C33" s="228"/>
      <c r="D33" s="228"/>
      <c r="E33" s="66"/>
      <c r="F33" s="228"/>
      <c r="G33" s="228"/>
      <c r="H33" s="228"/>
      <c r="I33" s="229"/>
      <c r="J33" s="66"/>
      <c r="K33" s="66"/>
      <c r="L33" s="228"/>
      <c r="M33" s="228"/>
      <c r="N33" s="66"/>
      <c r="O33" s="66"/>
      <c r="P33" s="228"/>
      <c r="Q33" s="36"/>
      <c r="R33" s="36"/>
      <c r="S33" s="36"/>
      <c r="T33" s="36"/>
      <c r="U33" s="36"/>
      <c r="V33" s="36"/>
      <c r="W33" s="36"/>
      <c r="X33" s="36"/>
      <c r="Y33" s="36"/>
      <c r="Z33" s="36"/>
      <c r="AA33" s="36"/>
      <c r="AB33" s="36"/>
    </row>
    <row r="34" spans="2:28" x14ac:dyDescent="0.35">
      <c r="B34" s="66"/>
      <c r="C34" s="67"/>
      <c r="D34" s="67"/>
      <c r="E34" s="66"/>
      <c r="F34" s="68"/>
      <c r="G34" s="66"/>
      <c r="H34" s="66"/>
      <c r="I34" s="67"/>
      <c r="J34" s="66"/>
      <c r="K34" s="66"/>
      <c r="L34" s="66"/>
      <c r="M34" s="66"/>
      <c r="N34" s="66"/>
      <c r="O34" s="66"/>
      <c r="P34" s="228"/>
      <c r="Q34" s="36"/>
      <c r="R34" s="36"/>
      <c r="S34" s="36"/>
      <c r="T34" s="36"/>
      <c r="U34" s="36"/>
      <c r="V34" s="36"/>
      <c r="W34" s="36"/>
      <c r="X34" s="36"/>
      <c r="Y34" s="36"/>
      <c r="Z34" s="36"/>
      <c r="AA34" s="36"/>
      <c r="AB34" s="36"/>
    </row>
    <row r="35" spans="2:28" x14ac:dyDescent="0.35">
      <c r="B35" s="36"/>
      <c r="D35" s="36"/>
      <c r="E35" s="36"/>
      <c r="F35" s="64" t="str">
        <f t="array" ref="F35">IFERROR(INDEX(Data!$B$29:$B$1492, SMALL(IF(COUNTIF('Landing Page'!$E$10, Data!$D$29:$D$1492)*COUNTIF(Data!$D$4, Data!$C$29:$C$1492), ROW(Data!$B$29:$D$1492)-MIN(ROW(Data!$B$29:$D$1492))+1), ROW('Landing Page'!A14)), COLUMN('Landing Page'!A14)),"")</f>
        <v/>
      </c>
      <c r="G35" s="36"/>
      <c r="H35" s="36"/>
      <c r="I35" s="63" t="str">
        <f t="array" ref="I35">IFERROR(INDEX(Data!$B$29:$B$1492, SMALL(IF(COUNTIF('Landing Page'!$E$10, Data!$D$29:$D$1492)*COUNTIF('Landing Page'!$I$20, Data!$C$29:$C$1492), ROW(Data!$B$29:$D$1492)-MIN(ROW(Data!$B$29:$D$1492))+1), ROW('Landing Page'!A13)), COLUMN('Landing Page'!A13)),"")</f>
        <v/>
      </c>
      <c r="J35" s="36"/>
      <c r="K35" s="36"/>
      <c r="L35" s="36" t="str">
        <f t="array" ref="L35">IFERROR(INDEX(Data!$B$29:$B$1492, SMALL(IF(COUNTIF('Landing Page'!$E$10, Data!$D$29:$D$1492)*COUNTIF('Landing Page'!$L$20, Data!$C$29:$C$1492), ROW(Data!$B$29:$D$1492)-MIN(ROW(Data!$B$29:$D$1492))+1), ROW('Landing Page'!A13)), COLUMN('Landing Page'!A13)),"")</f>
        <v/>
      </c>
      <c r="M35" s="36"/>
      <c r="N35" s="36"/>
      <c r="O35" s="36"/>
      <c r="P35" s="36"/>
      <c r="Q35" s="36"/>
      <c r="R35" s="36"/>
      <c r="S35" s="36"/>
      <c r="T35" s="36"/>
      <c r="U35" s="36"/>
      <c r="V35" s="36"/>
      <c r="W35" s="36"/>
      <c r="X35" s="36"/>
      <c r="Y35" s="36"/>
      <c r="Z35" s="36"/>
      <c r="AA35" s="36"/>
      <c r="AB35" s="36"/>
    </row>
    <row r="36" spans="2:28" ht="98.25" customHeight="1" x14ac:dyDescent="0.35">
      <c r="B36" s="36"/>
      <c r="C36" s="226"/>
      <c r="D36" s="226"/>
      <c r="E36" s="226"/>
      <c r="F36" s="226"/>
      <c r="G36" s="226"/>
      <c r="H36" s="226"/>
      <c r="I36" s="226"/>
      <c r="J36" s="226"/>
      <c r="K36" s="226"/>
      <c r="L36" s="226"/>
      <c r="M36" s="226"/>
      <c r="N36" s="226"/>
      <c r="O36" s="226"/>
      <c r="P36" s="226"/>
      <c r="Q36" s="226"/>
      <c r="R36" s="60"/>
      <c r="S36" s="36"/>
      <c r="T36" s="36"/>
      <c r="U36" s="36"/>
      <c r="V36" s="36"/>
      <c r="W36" s="36"/>
      <c r="X36" s="36"/>
      <c r="Y36" s="36"/>
      <c r="Z36" s="36"/>
      <c r="AA36" s="36"/>
      <c r="AB36" s="36"/>
    </row>
    <row r="37" spans="2:28" x14ac:dyDescent="0.35">
      <c r="B37" s="36"/>
      <c r="C37" s="36"/>
      <c r="D37" s="36"/>
      <c r="E37" s="36"/>
      <c r="F37" s="36"/>
      <c r="G37" s="36"/>
      <c r="H37" s="36"/>
      <c r="I37" s="36"/>
      <c r="J37" s="36"/>
      <c r="K37" s="36"/>
      <c r="L37" s="36"/>
      <c r="M37" s="36"/>
      <c r="N37" s="36"/>
      <c r="O37" s="36"/>
      <c r="P37" s="36"/>
      <c r="Q37" s="36"/>
      <c r="R37" s="36"/>
      <c r="S37" s="36"/>
      <c r="T37" s="36"/>
      <c r="U37" s="36"/>
      <c r="V37" s="36"/>
      <c r="W37" s="36"/>
      <c r="X37" s="36"/>
      <c r="Y37" s="36"/>
      <c r="Z37" s="36"/>
      <c r="AA37" s="36"/>
      <c r="AB37" s="36"/>
    </row>
    <row r="38" spans="2:28" x14ac:dyDescent="0.35">
      <c r="B38" s="36"/>
      <c r="C38" s="36"/>
      <c r="D38" s="36"/>
      <c r="E38" s="36"/>
      <c r="F38" s="36"/>
      <c r="G38" s="36"/>
      <c r="H38" s="36"/>
      <c r="I38" s="36"/>
      <c r="J38" s="36"/>
      <c r="K38" s="36"/>
      <c r="L38" s="36"/>
      <c r="M38" s="36"/>
      <c r="N38" s="36"/>
      <c r="O38" s="36"/>
      <c r="P38" s="36"/>
      <c r="Q38" s="36"/>
      <c r="R38" s="36"/>
      <c r="S38" s="36"/>
      <c r="T38" s="36"/>
      <c r="U38" s="36"/>
      <c r="V38" s="36"/>
      <c r="W38" s="36"/>
      <c r="X38" s="36"/>
      <c r="Y38" s="36"/>
      <c r="Z38" s="36"/>
      <c r="AA38" s="36"/>
      <c r="AB38" s="36"/>
    </row>
    <row r="39" spans="2:28" s="37" customFormat="1" x14ac:dyDescent="0.35"/>
    <row r="40" spans="2:28" s="37" customFormat="1" x14ac:dyDescent="0.35"/>
    <row r="41" spans="2:28" s="37" customFormat="1" x14ac:dyDescent="0.35"/>
    <row r="42" spans="2:28" s="37" customFormat="1" x14ac:dyDescent="0.35"/>
    <row r="43" spans="2:28" s="37" customFormat="1" x14ac:dyDescent="0.35"/>
    <row r="44" spans="2:28" s="37" customFormat="1" x14ac:dyDescent="0.35"/>
    <row r="45" spans="2:28" s="37" customFormat="1" x14ac:dyDescent="0.35"/>
    <row r="46" spans="2:28" s="37" customFormat="1" x14ac:dyDescent="0.35"/>
    <row r="47" spans="2:28" s="37" customFormat="1" x14ac:dyDescent="0.35"/>
    <row r="48" spans="2:28" s="37" customFormat="1" x14ac:dyDescent="0.35"/>
    <row r="49" s="37" customFormat="1" x14ac:dyDescent="0.35"/>
    <row r="50" s="37" customFormat="1" x14ac:dyDescent="0.35"/>
    <row r="51" s="37" customFormat="1" x14ac:dyDescent="0.35"/>
    <row r="52" s="37" customFormat="1" x14ac:dyDescent="0.35"/>
    <row r="53" s="37" customFormat="1" x14ac:dyDescent="0.35"/>
    <row r="54" s="37" customFormat="1" x14ac:dyDescent="0.35"/>
    <row r="55" s="37" customFormat="1" x14ac:dyDescent="0.35"/>
    <row r="56" s="37" customFormat="1" x14ac:dyDescent="0.35"/>
    <row r="57" s="37" customFormat="1" x14ac:dyDescent="0.35"/>
    <row r="58" s="37" customFormat="1" x14ac:dyDescent="0.35"/>
    <row r="59" s="37" customFormat="1" x14ac:dyDescent="0.35"/>
    <row r="60" s="37" customFormat="1" x14ac:dyDescent="0.35"/>
    <row r="61" s="37" customFormat="1" x14ac:dyDescent="0.35"/>
    <row r="62" s="37" customFormat="1" x14ac:dyDescent="0.35"/>
    <row r="63" s="37" customFormat="1" x14ac:dyDescent="0.35"/>
    <row r="64" s="37" customFormat="1" x14ac:dyDescent="0.35"/>
    <row r="65" s="37" customFormat="1" x14ac:dyDescent="0.35"/>
    <row r="66" s="37" customFormat="1" x14ac:dyDescent="0.35"/>
    <row r="67" s="37" customFormat="1" x14ac:dyDescent="0.35"/>
    <row r="68" s="37" customFormat="1" x14ac:dyDescent="0.35"/>
    <row r="69" s="37" customFormat="1" x14ac:dyDescent="0.35"/>
    <row r="70" s="37" customFormat="1" x14ac:dyDescent="0.35"/>
    <row r="71" s="37" customFormat="1" x14ac:dyDescent="0.35"/>
    <row r="72" s="37" customFormat="1" x14ac:dyDescent="0.35"/>
    <row r="73" s="37" customFormat="1" x14ac:dyDescent="0.35"/>
    <row r="74" s="37" customFormat="1" x14ac:dyDescent="0.35"/>
    <row r="75" s="37" customFormat="1" x14ac:dyDescent="0.35"/>
    <row r="76" s="37" customFormat="1" x14ac:dyDescent="0.35"/>
    <row r="77" s="37" customFormat="1" x14ac:dyDescent="0.35"/>
    <row r="78" s="37" customFormat="1" x14ac:dyDescent="0.35"/>
    <row r="79" s="37" customFormat="1" x14ac:dyDescent="0.35"/>
    <row r="80" s="37" customFormat="1" x14ac:dyDescent="0.35"/>
    <row r="81" s="37" customFormat="1" x14ac:dyDescent="0.35"/>
    <row r="82" s="37" customFormat="1" x14ac:dyDescent="0.35"/>
    <row r="83" s="37" customFormat="1" x14ac:dyDescent="0.35"/>
    <row r="84" s="37" customFormat="1" x14ac:dyDescent="0.35"/>
    <row r="85" s="37" customFormat="1" x14ac:dyDescent="0.35"/>
    <row r="86" s="37" customFormat="1" x14ac:dyDescent="0.35"/>
    <row r="87" s="37" customFormat="1" x14ac:dyDescent="0.35"/>
    <row r="88" s="37" customFormat="1" x14ac:dyDescent="0.35"/>
    <row r="89" s="37" customFormat="1" x14ac:dyDescent="0.35"/>
    <row r="90" s="37" customFormat="1" x14ac:dyDescent="0.35"/>
    <row r="91" s="37" customFormat="1" x14ac:dyDescent="0.35"/>
    <row r="92" s="37" customFormat="1" x14ac:dyDescent="0.35"/>
    <row r="93" s="37" customFormat="1" x14ac:dyDescent="0.35"/>
    <row r="94" s="37" customFormat="1" x14ac:dyDescent="0.35"/>
    <row r="95" s="37" customFormat="1" x14ac:dyDescent="0.35"/>
    <row r="96" s="37" customFormat="1" x14ac:dyDescent="0.35"/>
    <row r="97" s="37" customFormat="1" x14ac:dyDescent="0.35"/>
    <row r="98" s="37" customFormat="1" x14ac:dyDescent="0.35"/>
    <row r="99" s="37" customFormat="1" x14ac:dyDescent="0.35"/>
    <row r="100" s="37" customFormat="1" x14ac:dyDescent="0.35"/>
    <row r="101" s="37" customFormat="1" x14ac:dyDescent="0.35"/>
    <row r="102" s="37" customFormat="1" x14ac:dyDescent="0.35"/>
    <row r="103" s="37" customFormat="1" x14ac:dyDescent="0.35"/>
    <row r="104" s="37" customFormat="1" x14ac:dyDescent="0.35"/>
    <row r="105" s="37" customFormat="1" x14ac:dyDescent="0.35"/>
    <row r="106" s="37" customFormat="1" x14ac:dyDescent="0.35"/>
    <row r="107" s="37" customFormat="1" x14ac:dyDescent="0.35"/>
    <row r="108" s="37" customFormat="1" x14ac:dyDescent="0.35"/>
    <row r="109" s="37" customFormat="1" x14ac:dyDescent="0.35"/>
    <row r="110" s="37" customFormat="1" x14ac:dyDescent="0.35"/>
    <row r="111" s="37" customFormat="1" x14ac:dyDescent="0.35"/>
    <row r="112" s="37" customFormat="1" x14ac:dyDescent="0.35"/>
    <row r="113" s="37" customFormat="1" x14ac:dyDescent="0.35"/>
    <row r="114" s="37" customFormat="1" x14ac:dyDescent="0.35"/>
    <row r="115" s="37" customFormat="1" x14ac:dyDescent="0.35"/>
    <row r="116" s="37" customFormat="1" x14ac:dyDescent="0.35"/>
    <row r="117" s="37" customFormat="1" x14ac:dyDescent="0.35"/>
    <row r="118" s="37" customFormat="1" x14ac:dyDescent="0.35"/>
    <row r="119" s="37" customFormat="1" x14ac:dyDescent="0.35"/>
    <row r="120" s="37" customFormat="1" x14ac:dyDescent="0.35"/>
    <row r="121" s="37" customFormat="1" x14ac:dyDescent="0.35"/>
    <row r="122" s="37" customFormat="1" x14ac:dyDescent="0.35"/>
    <row r="123" s="37" customFormat="1" x14ac:dyDescent="0.35"/>
    <row r="124" s="37" customFormat="1" x14ac:dyDescent="0.35"/>
    <row r="125" s="37" customFormat="1" x14ac:dyDescent="0.35"/>
    <row r="126" s="37" customFormat="1" x14ac:dyDescent="0.35"/>
    <row r="127" s="37" customFormat="1" x14ac:dyDescent="0.35"/>
    <row r="128" s="37" customFormat="1" x14ac:dyDescent="0.35"/>
    <row r="129" s="37" customFormat="1" x14ac:dyDescent="0.35"/>
    <row r="130" s="37" customFormat="1" x14ac:dyDescent="0.35"/>
    <row r="131" s="37" customFormat="1" x14ac:dyDescent="0.35"/>
    <row r="132" s="37" customFormat="1" x14ac:dyDescent="0.35"/>
    <row r="133" s="37" customFormat="1" x14ac:dyDescent="0.35"/>
    <row r="134" s="37" customFormat="1" x14ac:dyDescent="0.35"/>
    <row r="135" s="37" customFormat="1" x14ac:dyDescent="0.35"/>
    <row r="136" s="37" customFormat="1" x14ac:dyDescent="0.35"/>
    <row r="137" s="37" customFormat="1" x14ac:dyDescent="0.35"/>
    <row r="138" s="37" customFormat="1" x14ac:dyDescent="0.35"/>
    <row r="139" s="37" customFormat="1" x14ac:dyDescent="0.35"/>
    <row r="140" s="37" customFormat="1" x14ac:dyDescent="0.35"/>
    <row r="141" s="37" customFormat="1" x14ac:dyDescent="0.35"/>
    <row r="142" s="37" customFormat="1" x14ac:dyDescent="0.35"/>
    <row r="143" s="37" customFormat="1" x14ac:dyDescent="0.35"/>
    <row r="144" s="37" customFormat="1" x14ac:dyDescent="0.35"/>
    <row r="145" s="37" customFormat="1" x14ac:dyDescent="0.35"/>
    <row r="146" s="37" customFormat="1" x14ac:dyDescent="0.35"/>
    <row r="147" s="37" customFormat="1" x14ac:dyDescent="0.35"/>
    <row r="148" s="37" customFormat="1" x14ac:dyDescent="0.35"/>
    <row r="149" s="37" customFormat="1" x14ac:dyDescent="0.35"/>
    <row r="150" s="37" customFormat="1" x14ac:dyDescent="0.35"/>
    <row r="151" s="37" customFormat="1" x14ac:dyDescent="0.35"/>
    <row r="152" s="37" customFormat="1" x14ac:dyDescent="0.35"/>
    <row r="153" s="37" customFormat="1" x14ac:dyDescent="0.35"/>
    <row r="154" s="37" customFormat="1" x14ac:dyDescent="0.35"/>
    <row r="155" s="37" customFormat="1" x14ac:dyDescent="0.35"/>
    <row r="156" s="37" customFormat="1" x14ac:dyDescent="0.35"/>
    <row r="157" s="37" customFormat="1" x14ac:dyDescent="0.35"/>
    <row r="158" s="37" customFormat="1" x14ac:dyDescent="0.35"/>
    <row r="159" s="37" customFormat="1" x14ac:dyDescent="0.35"/>
    <row r="160" s="37" customFormat="1" x14ac:dyDescent="0.35"/>
    <row r="161" s="37" customFormat="1" x14ac:dyDescent="0.35"/>
    <row r="162" s="37" customFormat="1" x14ac:dyDescent="0.35"/>
    <row r="163" s="37" customFormat="1" x14ac:dyDescent="0.35"/>
    <row r="164" s="37" customFormat="1" x14ac:dyDescent="0.35"/>
    <row r="165" s="37" customFormat="1" x14ac:dyDescent="0.35"/>
    <row r="166" s="37" customFormat="1" x14ac:dyDescent="0.35"/>
    <row r="167" s="37" customFormat="1" x14ac:dyDescent="0.35"/>
    <row r="168" s="37" customFormat="1" x14ac:dyDescent="0.35"/>
    <row r="169" s="37" customFormat="1" x14ac:dyDescent="0.35"/>
    <row r="170" s="37" customFormat="1" x14ac:dyDescent="0.35"/>
    <row r="171" s="37" customFormat="1" x14ac:dyDescent="0.35"/>
    <row r="172" s="37" customFormat="1" x14ac:dyDescent="0.35"/>
    <row r="173" s="37" customFormat="1" x14ac:dyDescent="0.35"/>
    <row r="174" s="37" customFormat="1" x14ac:dyDescent="0.35"/>
    <row r="175" s="37" customFormat="1" x14ac:dyDescent="0.35"/>
    <row r="176" s="37" customFormat="1" x14ac:dyDescent="0.35"/>
    <row r="177" s="37" customFormat="1" x14ac:dyDescent="0.35"/>
    <row r="178" s="37" customFormat="1" x14ac:dyDescent="0.35"/>
    <row r="179" s="37" customFormat="1" x14ac:dyDescent="0.35"/>
    <row r="180" s="37" customFormat="1" x14ac:dyDescent="0.35"/>
    <row r="181" s="37" customFormat="1" x14ac:dyDescent="0.35"/>
    <row r="182" s="37" customFormat="1" x14ac:dyDescent="0.35"/>
    <row r="183" s="37" customFormat="1" x14ac:dyDescent="0.35"/>
    <row r="184" s="37" customFormat="1" x14ac:dyDescent="0.35"/>
    <row r="185" s="37" customFormat="1" x14ac:dyDescent="0.35"/>
    <row r="186" s="37" customFormat="1" x14ac:dyDescent="0.35"/>
    <row r="187" s="37" customFormat="1" x14ac:dyDescent="0.35"/>
    <row r="188" s="37" customFormat="1" x14ac:dyDescent="0.35"/>
    <row r="189" s="37" customFormat="1" x14ac:dyDescent="0.35"/>
    <row r="190" s="37" customFormat="1" x14ac:dyDescent="0.35"/>
    <row r="191" s="37" customFormat="1" x14ac:dyDescent="0.35"/>
    <row r="192" s="37" customFormat="1" x14ac:dyDescent="0.35"/>
    <row r="193" s="37" customFormat="1" x14ac:dyDescent="0.35"/>
    <row r="194" s="37" customFormat="1" x14ac:dyDescent="0.35"/>
    <row r="195" s="37" customFormat="1" x14ac:dyDescent="0.35"/>
    <row r="196" s="37" customFormat="1" x14ac:dyDescent="0.35"/>
    <row r="197" s="37" customFormat="1" x14ac:dyDescent="0.35"/>
    <row r="198" s="37" customFormat="1" x14ac:dyDescent="0.35"/>
    <row r="199" s="37" customFormat="1" x14ac:dyDescent="0.35"/>
    <row r="200" s="37" customFormat="1" x14ac:dyDescent="0.35"/>
    <row r="201" s="37" customFormat="1" x14ac:dyDescent="0.35"/>
    <row r="202" s="37" customFormat="1" x14ac:dyDescent="0.35"/>
    <row r="203" s="37" customFormat="1" x14ac:dyDescent="0.35"/>
    <row r="204" s="37" customFormat="1" x14ac:dyDescent="0.35"/>
    <row r="205" s="37" customFormat="1" x14ac:dyDescent="0.35"/>
    <row r="206" s="37" customFormat="1" x14ac:dyDescent="0.35"/>
    <row r="207" s="37" customFormat="1" x14ac:dyDescent="0.35"/>
    <row r="208" s="37" customFormat="1" x14ac:dyDescent="0.35"/>
    <row r="209" s="37" customFormat="1" x14ac:dyDescent="0.35"/>
    <row r="210" s="37" customFormat="1" x14ac:dyDescent="0.35"/>
    <row r="211" s="37" customFormat="1" x14ac:dyDescent="0.35"/>
    <row r="212" s="37" customFormat="1" x14ac:dyDescent="0.35"/>
    <row r="213" s="37" customFormat="1" x14ac:dyDescent="0.35"/>
    <row r="214" s="37" customFormat="1" x14ac:dyDescent="0.35"/>
    <row r="215" s="37" customFormat="1" x14ac:dyDescent="0.35"/>
    <row r="216" s="37" customFormat="1" x14ac:dyDescent="0.35"/>
    <row r="217" s="37" customFormat="1" x14ac:dyDescent="0.35"/>
    <row r="218" s="37" customFormat="1" x14ac:dyDescent="0.35"/>
    <row r="219" s="37" customFormat="1" x14ac:dyDescent="0.35"/>
    <row r="220" s="37" customFormat="1" x14ac:dyDescent="0.35"/>
    <row r="221" s="37" customFormat="1" x14ac:dyDescent="0.35"/>
    <row r="222" s="37" customFormat="1" x14ac:dyDescent="0.35"/>
    <row r="223" s="37" customFormat="1" x14ac:dyDescent="0.35"/>
    <row r="224" s="37" customFormat="1" x14ac:dyDescent="0.35"/>
    <row r="225" s="37" customFormat="1" x14ac:dyDescent="0.35"/>
    <row r="226" s="37" customFormat="1" x14ac:dyDescent="0.35"/>
    <row r="227" s="37" customFormat="1" x14ac:dyDescent="0.35"/>
    <row r="228" s="37" customFormat="1" x14ac:dyDescent="0.35"/>
    <row r="229" s="37" customFormat="1" x14ac:dyDescent="0.35"/>
    <row r="230" s="37" customFormat="1" x14ac:dyDescent="0.35"/>
    <row r="231" s="37" customFormat="1" x14ac:dyDescent="0.35"/>
    <row r="232" s="37" customFormat="1" x14ac:dyDescent="0.35"/>
    <row r="233" s="37" customFormat="1" x14ac:dyDescent="0.35"/>
    <row r="234" s="37" customFormat="1" x14ac:dyDescent="0.35"/>
    <row r="235" s="37" customFormat="1" x14ac:dyDescent="0.35"/>
    <row r="236" s="37" customFormat="1" x14ac:dyDescent="0.35"/>
    <row r="237" s="37" customFormat="1" x14ac:dyDescent="0.35"/>
    <row r="238" s="37" customFormat="1" x14ac:dyDescent="0.35"/>
    <row r="239" s="37" customFormat="1" x14ac:dyDescent="0.35"/>
    <row r="240" s="37" customFormat="1" x14ac:dyDescent="0.35"/>
    <row r="241" s="37" customFormat="1" x14ac:dyDescent="0.35"/>
    <row r="242" s="37" customFormat="1" x14ac:dyDescent="0.35"/>
    <row r="243" s="37" customFormat="1" x14ac:dyDescent="0.35"/>
    <row r="244" s="37" customFormat="1" x14ac:dyDescent="0.35"/>
    <row r="245" s="37" customFormat="1" x14ac:dyDescent="0.35"/>
    <row r="246" s="37" customFormat="1" x14ac:dyDescent="0.35"/>
    <row r="247" s="37" customFormat="1" x14ac:dyDescent="0.35"/>
    <row r="248" s="37" customFormat="1" x14ac:dyDescent="0.35"/>
    <row r="249" s="37" customFormat="1" x14ac:dyDescent="0.35"/>
    <row r="250" s="37" customFormat="1" x14ac:dyDescent="0.35"/>
    <row r="251" s="37" customFormat="1" x14ac:dyDescent="0.35"/>
    <row r="252" s="37" customFormat="1" x14ac:dyDescent="0.35"/>
    <row r="253" s="37" customFormat="1" x14ac:dyDescent="0.35"/>
    <row r="254" s="37" customFormat="1" x14ac:dyDescent="0.35"/>
    <row r="255" s="37" customFormat="1" x14ac:dyDescent="0.35"/>
    <row r="256" s="37" customFormat="1" x14ac:dyDescent="0.35"/>
    <row r="257" s="37" customFormat="1" x14ac:dyDescent="0.35"/>
    <row r="258" s="37" customFormat="1" x14ac:dyDescent="0.35"/>
    <row r="259" s="37" customFormat="1" x14ac:dyDescent="0.35"/>
    <row r="260" s="37" customFormat="1" x14ac:dyDescent="0.35"/>
    <row r="261" s="37" customFormat="1" x14ac:dyDescent="0.35"/>
    <row r="262" s="37" customFormat="1" x14ac:dyDescent="0.35"/>
    <row r="263" s="37" customFormat="1" x14ac:dyDescent="0.35"/>
    <row r="264" s="37" customFormat="1" x14ac:dyDescent="0.35"/>
    <row r="265" s="37" customFormat="1" x14ac:dyDescent="0.35"/>
    <row r="266" s="37" customFormat="1" x14ac:dyDescent="0.35"/>
    <row r="267" s="37" customFormat="1" x14ac:dyDescent="0.35"/>
    <row r="268" s="37" customFormat="1" x14ac:dyDescent="0.35"/>
    <row r="269" s="37" customFormat="1" x14ac:dyDescent="0.35"/>
    <row r="270" s="37" customFormat="1" x14ac:dyDescent="0.35"/>
    <row r="271" s="37" customFormat="1" x14ac:dyDescent="0.35"/>
    <row r="272" s="37" customFormat="1" x14ac:dyDescent="0.35"/>
    <row r="273" s="37" customFormat="1" x14ac:dyDescent="0.35"/>
    <row r="274" s="37" customFormat="1" x14ac:dyDescent="0.35"/>
    <row r="275" s="37" customFormat="1" x14ac:dyDescent="0.35"/>
    <row r="276" s="37" customFormat="1" x14ac:dyDescent="0.35"/>
    <row r="277" s="37" customFormat="1" x14ac:dyDescent="0.35"/>
    <row r="278" s="37" customFormat="1" x14ac:dyDescent="0.35"/>
    <row r="279" s="37" customFormat="1" x14ac:dyDescent="0.35"/>
    <row r="280" s="37" customFormat="1" x14ac:dyDescent="0.35"/>
    <row r="281" s="37" customFormat="1" x14ac:dyDescent="0.35"/>
    <row r="282" s="37" customFormat="1" x14ac:dyDescent="0.35"/>
    <row r="283" s="37" customFormat="1" x14ac:dyDescent="0.35"/>
    <row r="284" s="37" customFormat="1" x14ac:dyDescent="0.35"/>
    <row r="285" s="37" customFormat="1" x14ac:dyDescent="0.35"/>
    <row r="286" s="37" customFormat="1" x14ac:dyDescent="0.35"/>
    <row r="287" s="37" customFormat="1" x14ac:dyDescent="0.35"/>
    <row r="288" s="37" customFormat="1" x14ac:dyDescent="0.35"/>
    <row r="289" spans="4:4" s="37" customFormat="1" x14ac:dyDescent="0.35"/>
    <row r="290" spans="4:4" s="37" customFormat="1" x14ac:dyDescent="0.35"/>
    <row r="291" spans="4:4" s="37" customFormat="1" x14ac:dyDescent="0.35"/>
    <row r="292" spans="4:4" s="37" customFormat="1" x14ac:dyDescent="0.35"/>
    <row r="293" spans="4:4" s="37" customFormat="1" x14ac:dyDescent="0.35"/>
    <row r="294" spans="4:4" s="37" customFormat="1" x14ac:dyDescent="0.35">
      <c r="D294"/>
    </row>
    <row r="295" spans="4:4" s="37" customFormat="1" x14ac:dyDescent="0.35">
      <c r="D295"/>
    </row>
    <row r="296" spans="4:4" s="37" customFormat="1" x14ac:dyDescent="0.35">
      <c r="D296"/>
    </row>
    <row r="297" spans="4:4" s="37" customFormat="1" x14ac:dyDescent="0.35">
      <c r="D297"/>
    </row>
    <row r="298" spans="4:4" s="37" customFormat="1" x14ac:dyDescent="0.35">
      <c r="D298"/>
    </row>
    <row r="299" spans="4:4" s="37" customFormat="1" x14ac:dyDescent="0.35">
      <c r="D299"/>
    </row>
  </sheetData>
  <sheetProtection autoFilter="0"/>
  <mergeCells count="9">
    <mergeCell ref="C36:Q36"/>
    <mergeCell ref="C20:D20"/>
    <mergeCell ref="F20:G20"/>
    <mergeCell ref="P21:P34"/>
    <mergeCell ref="C21:D33"/>
    <mergeCell ref="F21:G33"/>
    <mergeCell ref="H21:H33"/>
    <mergeCell ref="L21:M33"/>
    <mergeCell ref="I21:I33"/>
  </mergeCells>
  <pageMargins left="0.7" right="0.7" top="0.75" bottom="0.75" header="0.3" footer="0.3"/>
  <pageSetup paperSize="9" orientation="portrait" horizontalDpi="300" verticalDpi="300" r:id="rId1"/>
  <headerFooter>
    <oddFooter>&amp;C&amp;1#&amp;"Calibri"&amp;10&amp;K000000OFFICIAL</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'1. Changelog'!$D$10:$D$403</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D1:K201"/>
  <sheetViews>
    <sheetView showGridLines="0" topLeftCell="E1" zoomScale="82" zoomScaleNormal="100" workbookViewId="0">
      <pane ySplit="9" topLeftCell="A190" activePane="bottomLeft" state="frozen"/>
      <selection activeCell="B1" sqref="B1"/>
      <selection pane="bottomLeft" activeCell="I201" sqref="I201"/>
    </sheetView>
  </sheetViews>
  <sheetFormatPr defaultRowHeight="14.5" x14ac:dyDescent="0.35"/>
  <cols>
    <col min="1" max="1" width="2.7265625" customWidth="1"/>
    <col min="2" max="2" width="3.453125" customWidth="1"/>
    <col min="3" max="3" width="1" customWidth="1"/>
    <col min="4" max="4" width="23.7265625" style="39" customWidth="1"/>
    <col min="5" max="5" width="41.453125" customWidth="1"/>
    <col min="6" max="6" width="49.453125" customWidth="1"/>
    <col min="7" max="7" width="20" bestFit="1" customWidth="1"/>
    <col min="8" max="8" width="39.7265625" customWidth="1"/>
    <col min="9" max="9" width="61.54296875" customWidth="1"/>
    <col min="10" max="10" width="56.1796875" style="95" customWidth="1"/>
    <col min="11" max="11" width="14" customWidth="1"/>
  </cols>
  <sheetData>
    <row r="1" spans="4:11" hidden="1" x14ac:dyDescent="0.35"/>
    <row r="2" spans="4:11" hidden="1" x14ac:dyDescent="0.35"/>
    <row r="3" spans="4:11" hidden="1" x14ac:dyDescent="0.35"/>
    <row r="4" spans="4:11" hidden="1" x14ac:dyDescent="0.35"/>
    <row r="5" spans="4:11" ht="33.5" hidden="1" x14ac:dyDescent="0.75">
      <c r="D5" s="230" t="s">
        <v>6</v>
      </c>
      <c r="E5" s="230"/>
      <c r="F5" s="230"/>
      <c r="G5" s="230"/>
      <c r="H5" s="230"/>
      <c r="I5" s="230"/>
      <c r="J5" s="230"/>
      <c r="K5" s="230"/>
    </row>
    <row r="6" spans="4:11" hidden="1" x14ac:dyDescent="0.35"/>
    <row r="7" spans="4:11" hidden="1" x14ac:dyDescent="0.35"/>
    <row r="8" spans="4:11" ht="15.5" x14ac:dyDescent="0.35">
      <c r="D8" s="231" t="s">
        <v>7</v>
      </c>
      <c r="E8" s="231"/>
      <c r="F8" s="231"/>
      <c r="G8" s="231"/>
      <c r="H8" s="231"/>
      <c r="I8" s="231"/>
      <c r="J8" s="231"/>
      <c r="K8" s="231"/>
    </row>
    <row r="9" spans="4:11" x14ac:dyDescent="0.35">
      <c r="D9" s="73" t="s">
        <v>8</v>
      </c>
      <c r="E9" s="14" t="s">
        <v>2</v>
      </c>
      <c r="F9" s="14" t="s">
        <v>1</v>
      </c>
      <c r="G9" s="14" t="s">
        <v>3</v>
      </c>
      <c r="H9" s="14" t="s">
        <v>4</v>
      </c>
      <c r="I9" s="15" t="s">
        <v>5</v>
      </c>
      <c r="J9" s="15" t="s">
        <v>9</v>
      </c>
      <c r="K9" s="14" t="s">
        <v>10</v>
      </c>
    </row>
    <row r="10" spans="4:11" x14ac:dyDescent="0.35">
      <c r="D10" s="74">
        <v>190801</v>
      </c>
      <c r="E10" s="4">
        <v>112113114115116</v>
      </c>
      <c r="F10" s="7">
        <v>79</v>
      </c>
      <c r="G10" s="7"/>
      <c r="H10" s="7"/>
      <c r="I10" s="7"/>
      <c r="J10" s="8"/>
      <c r="K10" s="23">
        <v>43678</v>
      </c>
    </row>
    <row r="11" spans="4:11" x14ac:dyDescent="0.35">
      <c r="D11" s="74">
        <v>190808</v>
      </c>
      <c r="E11" s="4">
        <v>117118119120121</v>
      </c>
      <c r="F11" s="7" t="s">
        <v>11</v>
      </c>
      <c r="G11" s="7"/>
      <c r="H11" s="7"/>
      <c r="I11" s="7"/>
      <c r="J11" s="8"/>
      <c r="K11" s="23">
        <v>43685</v>
      </c>
    </row>
    <row r="12" spans="4:11" x14ac:dyDescent="0.35">
      <c r="D12" s="74">
        <v>190812</v>
      </c>
      <c r="E12" s="4">
        <v>122</v>
      </c>
      <c r="F12" s="7" t="s">
        <v>12</v>
      </c>
      <c r="G12" s="7"/>
      <c r="H12" s="7"/>
      <c r="I12" s="7"/>
      <c r="J12" s="8"/>
      <c r="K12" s="23">
        <v>43689</v>
      </c>
    </row>
    <row r="13" spans="4:11" x14ac:dyDescent="0.35">
      <c r="D13" s="74">
        <v>190905</v>
      </c>
      <c r="E13" s="4" t="s">
        <v>13</v>
      </c>
      <c r="F13" s="7" t="s">
        <v>14</v>
      </c>
      <c r="G13" s="7"/>
      <c r="H13" s="7"/>
      <c r="I13" s="7"/>
      <c r="J13" s="8"/>
      <c r="K13" s="23">
        <v>43713</v>
      </c>
    </row>
    <row r="14" spans="4:11" x14ac:dyDescent="0.35">
      <c r="D14" s="74">
        <v>190909</v>
      </c>
      <c r="E14" s="4">
        <v>130131132</v>
      </c>
      <c r="F14" s="7">
        <v>103</v>
      </c>
      <c r="G14" s="7"/>
      <c r="H14" s="7"/>
      <c r="I14" s="7"/>
      <c r="J14" s="8"/>
      <c r="K14" s="23">
        <v>43717</v>
      </c>
    </row>
    <row r="15" spans="4:11" x14ac:dyDescent="0.35">
      <c r="D15" s="74">
        <v>190923</v>
      </c>
      <c r="E15" s="13" t="s">
        <v>15</v>
      </c>
      <c r="F15" s="12" t="s">
        <v>16</v>
      </c>
      <c r="G15" s="12"/>
      <c r="H15" s="12"/>
      <c r="I15" s="12"/>
      <c r="J15" s="25"/>
      <c r="K15" s="23">
        <v>43731</v>
      </c>
    </row>
    <row r="16" spans="4:11" x14ac:dyDescent="0.35">
      <c r="D16" s="74">
        <v>190926</v>
      </c>
      <c r="E16" s="4">
        <v>138</v>
      </c>
      <c r="F16" s="7">
        <v>128</v>
      </c>
      <c r="G16" s="7"/>
      <c r="H16" s="7"/>
      <c r="I16" s="7"/>
      <c r="J16" s="8"/>
      <c r="K16" s="23">
        <v>43734</v>
      </c>
    </row>
    <row r="17" spans="4:11" x14ac:dyDescent="0.35">
      <c r="D17" s="74">
        <v>191007</v>
      </c>
      <c r="E17" s="2" t="s">
        <v>17</v>
      </c>
      <c r="F17" s="11"/>
      <c r="G17" s="11"/>
      <c r="H17" s="11"/>
      <c r="I17" s="11"/>
      <c r="J17" s="16"/>
      <c r="K17" s="23">
        <v>43745</v>
      </c>
    </row>
    <row r="18" spans="4:11" x14ac:dyDescent="0.35">
      <c r="D18" s="74">
        <v>191009</v>
      </c>
      <c r="E18" s="4" t="s">
        <v>18</v>
      </c>
      <c r="F18" s="11"/>
      <c r="G18" s="11"/>
      <c r="H18" s="11"/>
      <c r="I18" s="11"/>
      <c r="J18" s="16"/>
      <c r="K18" s="23">
        <v>43747</v>
      </c>
    </row>
    <row r="19" spans="4:11" ht="29" x14ac:dyDescent="0.35">
      <c r="D19" s="74">
        <v>191021</v>
      </c>
      <c r="E19" s="5" t="s">
        <v>19</v>
      </c>
      <c r="F19" s="7" t="s">
        <v>20</v>
      </c>
      <c r="G19" s="7"/>
      <c r="H19" s="7"/>
      <c r="I19" s="7"/>
      <c r="J19" s="8"/>
      <c r="K19" s="23">
        <v>43759</v>
      </c>
    </row>
    <row r="20" spans="4:11" x14ac:dyDescent="0.35">
      <c r="D20" s="74">
        <v>191024</v>
      </c>
      <c r="E20" s="2" t="s">
        <v>21</v>
      </c>
      <c r="F20" s="11"/>
      <c r="G20" s="11"/>
      <c r="H20" s="11"/>
      <c r="I20" s="11"/>
      <c r="J20" s="16"/>
      <c r="K20" s="23">
        <v>43762</v>
      </c>
    </row>
    <row r="21" spans="4:11" x14ac:dyDescent="0.35">
      <c r="D21" s="74">
        <v>191104</v>
      </c>
      <c r="E21" s="2" t="s">
        <v>22</v>
      </c>
      <c r="F21" s="7" t="s">
        <v>23</v>
      </c>
      <c r="G21" s="7"/>
      <c r="H21" s="7"/>
      <c r="I21" s="7"/>
      <c r="J21" s="8"/>
      <c r="K21" s="23">
        <v>43773</v>
      </c>
    </row>
    <row r="22" spans="4:11" x14ac:dyDescent="0.35">
      <c r="D22" s="74">
        <v>191118</v>
      </c>
      <c r="E22" s="7" t="s">
        <v>24</v>
      </c>
      <c r="F22" s="7" t="s">
        <v>25</v>
      </c>
      <c r="G22" s="7"/>
      <c r="H22" s="7"/>
      <c r="I22" s="7"/>
      <c r="J22" s="8"/>
      <c r="K22" s="23">
        <v>43787</v>
      </c>
    </row>
    <row r="23" spans="4:11" x14ac:dyDescent="0.35">
      <c r="D23" s="74">
        <v>191202</v>
      </c>
      <c r="E23" s="10" t="s">
        <v>26</v>
      </c>
      <c r="F23" s="7" t="s">
        <v>27</v>
      </c>
      <c r="G23" s="7"/>
      <c r="H23" s="7"/>
      <c r="I23" s="7"/>
      <c r="J23" s="8"/>
      <c r="K23" s="24">
        <v>43801</v>
      </c>
    </row>
    <row r="24" spans="4:11" x14ac:dyDescent="0.35">
      <c r="D24" s="74">
        <v>191204</v>
      </c>
      <c r="E24" s="2" t="s">
        <v>28</v>
      </c>
      <c r="F24" s="10"/>
      <c r="G24" s="10"/>
      <c r="H24" s="10"/>
      <c r="I24" s="10"/>
      <c r="J24" s="27"/>
      <c r="K24" s="24">
        <v>43803</v>
      </c>
    </row>
    <row r="25" spans="4:11" x14ac:dyDescent="0.35">
      <c r="D25" s="74">
        <v>191216</v>
      </c>
      <c r="E25" s="2" t="s">
        <v>29</v>
      </c>
      <c r="F25" s="10"/>
      <c r="G25" s="10"/>
      <c r="H25" s="10"/>
      <c r="I25" s="10"/>
      <c r="J25" s="27"/>
      <c r="K25" s="24">
        <v>43815</v>
      </c>
    </row>
    <row r="26" spans="4:11" x14ac:dyDescent="0.35">
      <c r="D26" s="74">
        <v>191230</v>
      </c>
      <c r="E26" s="2" t="s">
        <v>30</v>
      </c>
      <c r="F26" s="2" t="s">
        <v>31</v>
      </c>
      <c r="G26" s="2">
        <v>32</v>
      </c>
      <c r="H26" s="2"/>
      <c r="I26" s="2"/>
      <c r="J26" s="5"/>
      <c r="K26" s="24">
        <v>43829</v>
      </c>
    </row>
    <row r="27" spans="4:11" x14ac:dyDescent="0.35">
      <c r="D27" s="74">
        <v>200113</v>
      </c>
      <c r="E27" s="2" t="s">
        <v>32</v>
      </c>
      <c r="F27" s="10"/>
      <c r="G27" s="10"/>
      <c r="H27" s="2">
        <v>155</v>
      </c>
      <c r="I27" s="2"/>
      <c r="J27" s="5"/>
      <c r="K27" s="24">
        <v>43843</v>
      </c>
    </row>
    <row r="28" spans="4:11" ht="43.5" x14ac:dyDescent="0.35">
      <c r="D28" s="74">
        <v>200116</v>
      </c>
      <c r="E28" s="2" t="s">
        <v>33</v>
      </c>
      <c r="F28" s="10"/>
      <c r="G28" s="10"/>
      <c r="H28" s="2" t="s">
        <v>34</v>
      </c>
      <c r="I28" s="2"/>
      <c r="J28" s="9" t="s">
        <v>35</v>
      </c>
      <c r="K28" s="24">
        <v>43846</v>
      </c>
    </row>
    <row r="29" spans="4:11" ht="29" x14ac:dyDescent="0.35">
      <c r="D29" s="74">
        <v>200127</v>
      </c>
      <c r="E29" s="7" t="s">
        <v>36</v>
      </c>
      <c r="F29" s="8" t="s">
        <v>37</v>
      </c>
      <c r="G29" s="7"/>
      <c r="H29" s="7"/>
      <c r="I29" s="7"/>
      <c r="J29" s="8"/>
      <c r="K29" s="23">
        <v>43857</v>
      </c>
    </row>
    <row r="30" spans="4:11" ht="58" x14ac:dyDescent="0.35">
      <c r="D30" s="74">
        <v>200130</v>
      </c>
      <c r="E30" s="7" t="s">
        <v>38</v>
      </c>
      <c r="F30" s="8" t="s">
        <v>39</v>
      </c>
      <c r="G30" s="7"/>
      <c r="H30" s="7"/>
      <c r="I30" s="7"/>
      <c r="J30" s="8"/>
      <c r="K30" s="23">
        <v>43860</v>
      </c>
    </row>
    <row r="31" spans="4:11" x14ac:dyDescent="0.35">
      <c r="D31" s="74">
        <v>200210</v>
      </c>
      <c r="E31" s="2" t="s">
        <v>40</v>
      </c>
      <c r="F31" s="2"/>
      <c r="G31" s="2"/>
      <c r="H31" s="2" t="s">
        <v>41</v>
      </c>
      <c r="I31" s="2"/>
      <c r="J31" s="5"/>
      <c r="K31" s="24">
        <v>43871</v>
      </c>
    </row>
    <row r="32" spans="4:11" ht="145" x14ac:dyDescent="0.35">
      <c r="D32" s="74">
        <v>200224</v>
      </c>
      <c r="E32" s="7" t="s">
        <v>42</v>
      </c>
      <c r="F32" s="7" t="s">
        <v>43</v>
      </c>
      <c r="G32" s="7"/>
      <c r="H32" s="7">
        <v>190</v>
      </c>
      <c r="I32" s="7"/>
      <c r="J32" s="6" t="s">
        <v>44</v>
      </c>
      <c r="K32" s="23">
        <v>43885</v>
      </c>
    </row>
    <row r="33" spans="4:11" ht="29" x14ac:dyDescent="0.35">
      <c r="D33" s="74">
        <v>200304</v>
      </c>
      <c r="E33" s="7"/>
      <c r="F33" s="7" t="s">
        <v>45</v>
      </c>
      <c r="G33" s="7"/>
      <c r="H33" s="7"/>
      <c r="I33" s="7" t="s">
        <v>46</v>
      </c>
      <c r="J33" s="6" t="s">
        <v>47</v>
      </c>
      <c r="K33" s="23">
        <v>43894</v>
      </c>
    </row>
    <row r="34" spans="4:11" s="1" customFormat="1" ht="43.5" x14ac:dyDescent="0.35">
      <c r="D34" s="75">
        <v>200323</v>
      </c>
      <c r="E34" s="4" t="s">
        <v>48</v>
      </c>
      <c r="F34" s="5" t="s">
        <v>49</v>
      </c>
      <c r="G34" s="2"/>
      <c r="H34" s="2"/>
      <c r="I34" s="2">
        <v>32</v>
      </c>
      <c r="J34" s="5"/>
      <c r="K34" s="24">
        <v>43913</v>
      </c>
    </row>
    <row r="35" spans="4:11" s="1" customFormat="1" x14ac:dyDescent="0.35">
      <c r="D35" s="75">
        <v>200406</v>
      </c>
      <c r="E35" s="4" t="s">
        <v>50</v>
      </c>
      <c r="F35" s="5">
        <v>139</v>
      </c>
      <c r="G35" s="2"/>
      <c r="H35" s="2">
        <v>236</v>
      </c>
      <c r="I35" s="2"/>
      <c r="J35" s="5"/>
      <c r="K35" s="24">
        <v>43927</v>
      </c>
    </row>
    <row r="36" spans="4:11" s="1" customFormat="1" ht="29" x14ac:dyDescent="0.35">
      <c r="D36" s="75">
        <v>200423</v>
      </c>
      <c r="E36" s="4" t="s">
        <v>51</v>
      </c>
      <c r="F36" s="3" t="s">
        <v>52</v>
      </c>
      <c r="G36" s="2"/>
      <c r="H36" s="2">
        <v>84</v>
      </c>
      <c r="I36" s="2"/>
      <c r="J36" s="5"/>
      <c r="K36" s="24">
        <v>43944</v>
      </c>
    </row>
    <row r="37" spans="4:11" ht="29" x14ac:dyDescent="0.35">
      <c r="D37" s="74">
        <v>200504</v>
      </c>
      <c r="E37" s="22" t="s">
        <v>53</v>
      </c>
      <c r="F37" s="18" t="s">
        <v>54</v>
      </c>
      <c r="G37" s="7">
        <v>195</v>
      </c>
      <c r="H37" s="17" t="s">
        <v>55</v>
      </c>
      <c r="I37" s="8" t="s">
        <v>56</v>
      </c>
      <c r="J37" s="8"/>
      <c r="K37" s="23">
        <v>43955</v>
      </c>
    </row>
    <row r="38" spans="4:11" x14ac:dyDescent="0.35">
      <c r="D38" s="74">
        <v>200518</v>
      </c>
      <c r="E38" s="22" t="s">
        <v>57</v>
      </c>
      <c r="F38" s="18">
        <v>216</v>
      </c>
      <c r="G38" s="7"/>
      <c r="H38" s="17">
        <v>251</v>
      </c>
      <c r="I38" s="8"/>
      <c r="J38" s="8"/>
      <c r="K38" s="23">
        <v>43969</v>
      </c>
    </row>
    <row r="39" spans="4:11" ht="29" x14ac:dyDescent="0.35">
      <c r="D39" s="74">
        <v>200528</v>
      </c>
      <c r="E39" s="22" t="s">
        <v>58</v>
      </c>
      <c r="F39" s="91" t="s">
        <v>59</v>
      </c>
      <c r="G39" s="7"/>
      <c r="H39" s="7">
        <v>178</v>
      </c>
      <c r="I39" s="8"/>
      <c r="J39" s="8"/>
      <c r="K39" s="23">
        <v>43979</v>
      </c>
    </row>
    <row r="40" spans="4:11" x14ac:dyDescent="0.35">
      <c r="D40" s="74">
        <v>200608</v>
      </c>
      <c r="E40" s="22" t="s">
        <v>60</v>
      </c>
      <c r="F40" s="22" t="s">
        <v>61</v>
      </c>
      <c r="G40" s="22"/>
      <c r="H40" s="22"/>
      <c r="I40" s="22"/>
      <c r="J40" s="22"/>
      <c r="K40" s="23">
        <v>43990</v>
      </c>
    </row>
    <row r="41" spans="4:11" x14ac:dyDescent="0.35">
      <c r="D41" s="74">
        <v>200624</v>
      </c>
      <c r="E41" s="2" t="s">
        <v>62</v>
      </c>
      <c r="F41" s="2" t="s">
        <v>63</v>
      </c>
      <c r="G41" s="2">
        <v>167</v>
      </c>
      <c r="H41" s="2">
        <v>278</v>
      </c>
      <c r="I41" s="2" t="s">
        <v>64</v>
      </c>
      <c r="J41" s="27"/>
      <c r="K41" s="23">
        <v>44006</v>
      </c>
    </row>
    <row r="42" spans="4:11" x14ac:dyDescent="0.35">
      <c r="D42" s="74">
        <v>200706</v>
      </c>
      <c r="E42" s="2" t="s">
        <v>65</v>
      </c>
      <c r="F42" s="10"/>
      <c r="G42" s="10"/>
      <c r="H42" s="10"/>
      <c r="I42" s="2" t="s">
        <v>66</v>
      </c>
      <c r="J42" s="27"/>
      <c r="K42" s="24">
        <v>44018</v>
      </c>
    </row>
    <row r="43" spans="4:11" x14ac:dyDescent="0.35">
      <c r="D43" s="74">
        <v>200720</v>
      </c>
      <c r="E43" s="2" t="s">
        <v>67</v>
      </c>
      <c r="F43" s="2">
        <v>292</v>
      </c>
      <c r="G43" s="10"/>
      <c r="H43" s="10"/>
      <c r="I43" s="10"/>
      <c r="J43" s="27"/>
      <c r="K43" s="24">
        <v>44032</v>
      </c>
    </row>
    <row r="44" spans="4:11" ht="58" x14ac:dyDescent="0.35">
      <c r="D44" s="74">
        <v>200806</v>
      </c>
      <c r="E44" s="7" t="s">
        <v>68</v>
      </c>
      <c r="F44" s="8" t="s">
        <v>69</v>
      </c>
      <c r="G44" s="10"/>
      <c r="H44" s="7">
        <v>299</v>
      </c>
      <c r="I44" s="8" t="s">
        <v>70</v>
      </c>
      <c r="J44" s="27"/>
      <c r="K44" s="23">
        <v>44049</v>
      </c>
    </row>
    <row r="45" spans="4:11" ht="58" x14ac:dyDescent="0.35">
      <c r="D45" s="74">
        <v>200817</v>
      </c>
      <c r="E45" s="7" t="s">
        <v>71</v>
      </c>
      <c r="F45" s="7" t="s">
        <v>72</v>
      </c>
      <c r="G45" s="7"/>
      <c r="H45" s="7" t="s">
        <v>73</v>
      </c>
      <c r="I45" s="7"/>
      <c r="J45" s="8" t="s">
        <v>74</v>
      </c>
      <c r="K45" s="23">
        <v>44060</v>
      </c>
    </row>
    <row r="46" spans="4:11" x14ac:dyDescent="0.35">
      <c r="D46" s="74">
        <v>200821</v>
      </c>
      <c r="E46" s="11"/>
      <c r="F46" s="11"/>
      <c r="G46" s="7">
        <v>273</v>
      </c>
      <c r="H46" s="11"/>
      <c r="I46" s="7">
        <v>273</v>
      </c>
      <c r="J46" s="27"/>
      <c r="K46" s="23">
        <v>44064</v>
      </c>
    </row>
    <row r="47" spans="4:11" x14ac:dyDescent="0.35">
      <c r="D47" s="74">
        <v>200907</v>
      </c>
      <c r="E47" s="2">
        <v>315</v>
      </c>
      <c r="F47" s="10"/>
      <c r="G47" s="10"/>
      <c r="H47" s="2">
        <v>310</v>
      </c>
      <c r="I47" s="2" t="s">
        <v>75</v>
      </c>
      <c r="J47" s="27"/>
      <c r="K47" s="23">
        <v>44081</v>
      </c>
    </row>
    <row r="48" spans="4:11" x14ac:dyDescent="0.35">
      <c r="D48" s="74">
        <v>200921</v>
      </c>
      <c r="E48" s="2" t="s">
        <v>76</v>
      </c>
      <c r="F48" s="2" t="s">
        <v>77</v>
      </c>
      <c r="G48" s="10"/>
      <c r="H48" s="2"/>
      <c r="I48" s="2" t="s">
        <v>78</v>
      </c>
      <c r="J48" s="27"/>
      <c r="K48" s="23">
        <v>44095</v>
      </c>
    </row>
    <row r="49" spans="4:11" x14ac:dyDescent="0.35">
      <c r="D49" s="74">
        <v>201001</v>
      </c>
      <c r="E49" s="2" t="s">
        <v>79</v>
      </c>
      <c r="F49" s="2" t="s">
        <v>80</v>
      </c>
      <c r="G49" s="10"/>
      <c r="H49" s="10"/>
      <c r="I49" s="2" t="s">
        <v>81</v>
      </c>
      <c r="J49" s="27"/>
      <c r="K49" s="23">
        <v>44105</v>
      </c>
    </row>
    <row r="50" spans="4:11" ht="43.5" x14ac:dyDescent="0.35">
      <c r="D50" s="74">
        <v>201015</v>
      </c>
      <c r="E50" s="7" t="s">
        <v>82</v>
      </c>
      <c r="F50" s="8" t="s">
        <v>83</v>
      </c>
      <c r="G50" s="7"/>
      <c r="H50" s="7">
        <v>319</v>
      </c>
      <c r="I50" s="5" t="s">
        <v>84</v>
      </c>
      <c r="J50" s="27"/>
      <c r="K50" s="23">
        <v>44119</v>
      </c>
    </row>
    <row r="51" spans="4:11" x14ac:dyDescent="0.35">
      <c r="D51" s="74">
        <v>201020</v>
      </c>
      <c r="E51" s="2" t="s">
        <v>85</v>
      </c>
      <c r="F51" s="2">
        <v>303</v>
      </c>
      <c r="G51" s="10"/>
      <c r="H51" s="10"/>
      <c r="I51" s="10"/>
      <c r="J51" s="27"/>
      <c r="K51" s="23">
        <v>44124</v>
      </c>
    </row>
    <row r="52" spans="4:11" x14ac:dyDescent="0.35">
      <c r="D52" s="74">
        <v>201102</v>
      </c>
      <c r="E52" s="2">
        <v>332</v>
      </c>
      <c r="F52" s="10"/>
      <c r="G52" s="10"/>
      <c r="H52" s="2">
        <v>322</v>
      </c>
      <c r="I52" s="2" t="s">
        <v>86</v>
      </c>
      <c r="J52" s="27"/>
      <c r="K52" s="23">
        <v>44137</v>
      </c>
    </row>
    <row r="53" spans="4:11" x14ac:dyDescent="0.35">
      <c r="D53" s="74">
        <v>201119</v>
      </c>
      <c r="E53" s="2" t="s">
        <v>87</v>
      </c>
      <c r="F53" s="2">
        <v>249</v>
      </c>
      <c r="G53" s="10"/>
      <c r="H53" s="2">
        <v>142</v>
      </c>
      <c r="I53" s="2" t="s">
        <v>88</v>
      </c>
      <c r="J53" s="27"/>
      <c r="K53" s="23">
        <v>44154</v>
      </c>
    </row>
    <row r="54" spans="4:11" x14ac:dyDescent="0.35">
      <c r="D54" s="74">
        <v>201130</v>
      </c>
      <c r="E54" s="2">
        <v>336</v>
      </c>
      <c r="F54" s="2"/>
      <c r="G54" s="10"/>
      <c r="H54" s="2"/>
      <c r="I54" s="2">
        <v>329</v>
      </c>
      <c r="J54" s="27"/>
      <c r="K54" s="23">
        <v>44165</v>
      </c>
    </row>
    <row r="55" spans="4:11" ht="72.5" x14ac:dyDescent="0.35">
      <c r="D55" s="74">
        <v>201210</v>
      </c>
      <c r="E55" s="5" t="s">
        <v>89</v>
      </c>
      <c r="F55" s="8" t="s">
        <v>90</v>
      </c>
      <c r="G55" s="7">
        <v>300</v>
      </c>
      <c r="H55" s="7" t="s">
        <v>91</v>
      </c>
      <c r="I55" s="7" t="s">
        <v>92</v>
      </c>
      <c r="J55" s="8" t="s">
        <v>93</v>
      </c>
      <c r="K55" s="23">
        <v>44175</v>
      </c>
    </row>
    <row r="56" spans="4:11" ht="43.5" x14ac:dyDescent="0.35">
      <c r="D56" s="74">
        <v>201221</v>
      </c>
      <c r="E56" s="8" t="s">
        <v>94</v>
      </c>
      <c r="F56" s="10"/>
      <c r="G56" s="10"/>
      <c r="H56" s="7">
        <v>305</v>
      </c>
      <c r="I56" s="7" t="s">
        <v>95</v>
      </c>
      <c r="J56" s="8" t="s">
        <v>96</v>
      </c>
      <c r="K56" s="23">
        <v>44186</v>
      </c>
    </row>
    <row r="57" spans="4:11" ht="29" x14ac:dyDescent="0.35">
      <c r="D57" s="74">
        <v>210111</v>
      </c>
      <c r="E57" s="7" t="s">
        <v>97</v>
      </c>
      <c r="F57" s="11"/>
      <c r="G57" s="11"/>
      <c r="H57" s="11"/>
      <c r="I57" s="7" t="s">
        <v>98</v>
      </c>
      <c r="J57" s="25" t="s">
        <v>99</v>
      </c>
      <c r="K57" s="23">
        <v>44207</v>
      </c>
    </row>
    <row r="58" spans="4:11" ht="43.5" x14ac:dyDescent="0.35">
      <c r="D58" s="74">
        <v>210127</v>
      </c>
      <c r="E58" s="7" t="s">
        <v>100</v>
      </c>
      <c r="F58" s="8" t="s">
        <v>101</v>
      </c>
      <c r="G58" s="11"/>
      <c r="H58" s="7" t="s">
        <v>102</v>
      </c>
      <c r="I58" s="7" t="s">
        <v>103</v>
      </c>
      <c r="J58" s="8" t="s">
        <v>104</v>
      </c>
      <c r="K58" s="23">
        <v>44223</v>
      </c>
    </row>
    <row r="59" spans="4:11" ht="29" x14ac:dyDescent="0.35">
      <c r="D59" s="74">
        <v>210208</v>
      </c>
      <c r="E59" s="8" t="s">
        <v>105</v>
      </c>
      <c r="F59" s="10"/>
      <c r="G59" s="10"/>
      <c r="H59" s="10"/>
      <c r="I59" s="7" t="s">
        <v>106</v>
      </c>
      <c r="J59" s="25" t="s">
        <v>107</v>
      </c>
      <c r="K59" s="23">
        <v>44235</v>
      </c>
    </row>
    <row r="60" spans="4:11" ht="43.5" x14ac:dyDescent="0.35">
      <c r="D60" s="74" t="s">
        <v>108</v>
      </c>
      <c r="E60" s="7" t="s">
        <v>109</v>
      </c>
      <c r="F60" s="7" t="s">
        <v>110</v>
      </c>
      <c r="G60" s="7"/>
      <c r="H60" s="7">
        <v>287</v>
      </c>
      <c r="I60" s="7"/>
      <c r="J60" s="8" t="s">
        <v>111</v>
      </c>
      <c r="K60" s="23">
        <v>44245</v>
      </c>
    </row>
    <row r="61" spans="4:11" ht="159.5" x14ac:dyDescent="0.35">
      <c r="D61" s="74" t="s">
        <v>112</v>
      </c>
      <c r="E61" s="7" t="s">
        <v>113</v>
      </c>
      <c r="F61" s="7">
        <v>365</v>
      </c>
      <c r="G61" s="7"/>
      <c r="H61" s="8" t="s">
        <v>114</v>
      </c>
      <c r="I61" s="7"/>
      <c r="J61" s="85" t="s">
        <v>115</v>
      </c>
      <c r="K61" s="23">
        <v>44256</v>
      </c>
    </row>
    <row r="62" spans="4:11" x14ac:dyDescent="0.35">
      <c r="D62" s="74" t="s">
        <v>116</v>
      </c>
      <c r="E62" s="7" t="s">
        <v>117</v>
      </c>
      <c r="F62" s="7"/>
      <c r="G62" s="10"/>
      <c r="H62" s="10"/>
      <c r="I62" s="7" t="s">
        <v>118</v>
      </c>
      <c r="J62" s="27"/>
      <c r="K62" s="23">
        <v>44271</v>
      </c>
    </row>
    <row r="63" spans="4:11" x14ac:dyDescent="0.35">
      <c r="D63" s="74" t="s">
        <v>119</v>
      </c>
      <c r="E63" s="7" t="s">
        <v>120</v>
      </c>
      <c r="F63" s="7" t="s">
        <v>121</v>
      </c>
      <c r="G63" s="10"/>
      <c r="H63" s="10"/>
      <c r="I63" s="7" t="s">
        <v>122</v>
      </c>
      <c r="J63" s="27"/>
      <c r="K63" s="23">
        <v>44279</v>
      </c>
    </row>
    <row r="64" spans="4:11" x14ac:dyDescent="0.35">
      <c r="D64" s="74" t="s">
        <v>123</v>
      </c>
      <c r="E64" s="7" t="s">
        <v>124</v>
      </c>
      <c r="F64" s="7"/>
      <c r="G64" s="7"/>
      <c r="H64" s="7"/>
      <c r="I64" s="7"/>
      <c r="J64" s="8"/>
      <c r="K64" s="23">
        <v>44285</v>
      </c>
    </row>
    <row r="65" spans="4:11" x14ac:dyDescent="0.35">
      <c r="D65" s="74" t="s">
        <v>125</v>
      </c>
      <c r="E65" s="7">
        <v>384</v>
      </c>
      <c r="F65" s="7"/>
      <c r="G65" s="7"/>
      <c r="H65" s="7"/>
      <c r="I65" s="7" t="s">
        <v>126</v>
      </c>
      <c r="J65" s="8"/>
      <c r="K65" s="23">
        <v>44300</v>
      </c>
    </row>
    <row r="66" spans="4:11" x14ac:dyDescent="0.35">
      <c r="D66" s="74" t="s">
        <v>127</v>
      </c>
      <c r="E66" s="7" t="s">
        <v>128</v>
      </c>
      <c r="F66" s="7" t="s">
        <v>129</v>
      </c>
      <c r="G66" s="7"/>
      <c r="H66" s="7">
        <v>384</v>
      </c>
      <c r="I66" s="7" t="s">
        <v>130</v>
      </c>
      <c r="J66" s="8"/>
      <c r="K66" s="23">
        <v>44314</v>
      </c>
    </row>
    <row r="67" spans="4:11" x14ac:dyDescent="0.35">
      <c r="D67" s="74" t="s">
        <v>131</v>
      </c>
      <c r="E67" s="7" t="s">
        <v>132</v>
      </c>
      <c r="F67" s="7" t="s">
        <v>133</v>
      </c>
      <c r="G67" s="7"/>
      <c r="H67" s="7"/>
      <c r="I67" s="7"/>
      <c r="J67" s="8"/>
      <c r="K67" s="23">
        <v>44326</v>
      </c>
    </row>
    <row r="68" spans="4:11" x14ac:dyDescent="0.35">
      <c r="D68" s="74" t="s">
        <v>134</v>
      </c>
      <c r="E68" s="7"/>
      <c r="F68" s="7"/>
      <c r="G68" s="7"/>
      <c r="H68" s="7"/>
      <c r="I68" s="7" t="s">
        <v>135</v>
      </c>
      <c r="J68" s="8"/>
      <c r="K68" s="23">
        <v>44340</v>
      </c>
    </row>
    <row r="69" spans="4:11" x14ac:dyDescent="0.35">
      <c r="D69" s="74" t="s">
        <v>136</v>
      </c>
      <c r="E69" s="7" t="s">
        <v>137</v>
      </c>
      <c r="F69" s="7" t="s">
        <v>138</v>
      </c>
      <c r="G69" s="7"/>
      <c r="H69" s="7"/>
      <c r="I69" s="2" t="s">
        <v>139</v>
      </c>
      <c r="J69" s="8"/>
      <c r="K69" s="23">
        <v>44351</v>
      </c>
    </row>
    <row r="70" spans="4:11" x14ac:dyDescent="0.35">
      <c r="D70" s="74" t="s">
        <v>140</v>
      </c>
      <c r="E70" s="7" t="s">
        <v>141</v>
      </c>
      <c r="F70" s="7"/>
      <c r="G70" s="7"/>
      <c r="H70" s="7"/>
      <c r="I70" s="7" t="s">
        <v>142</v>
      </c>
      <c r="J70" s="8"/>
      <c r="K70" s="23">
        <v>44368</v>
      </c>
    </row>
    <row r="71" spans="4:11" x14ac:dyDescent="0.35">
      <c r="D71" s="74" t="s">
        <v>143</v>
      </c>
      <c r="E71" s="7" t="s">
        <v>144</v>
      </c>
      <c r="F71" s="7"/>
      <c r="G71" s="7"/>
      <c r="H71" s="7">
        <v>318</v>
      </c>
      <c r="I71" s="7" t="s">
        <v>145</v>
      </c>
      <c r="J71" s="8"/>
      <c r="K71" s="23">
        <v>44382</v>
      </c>
    </row>
    <row r="72" spans="4:11" x14ac:dyDescent="0.35">
      <c r="D72" s="74" t="s">
        <v>146</v>
      </c>
      <c r="E72" s="7" t="s">
        <v>147</v>
      </c>
      <c r="F72" s="7" t="s">
        <v>148</v>
      </c>
      <c r="G72" s="7"/>
      <c r="H72" s="7"/>
      <c r="I72" s="7" t="s">
        <v>149</v>
      </c>
      <c r="J72" s="8"/>
      <c r="K72" s="23">
        <v>44399</v>
      </c>
    </row>
    <row r="73" spans="4:11" x14ac:dyDescent="0.35">
      <c r="D73" s="74" t="s">
        <v>150</v>
      </c>
      <c r="E73" s="7" t="s">
        <v>151</v>
      </c>
      <c r="F73" s="7"/>
      <c r="G73" s="7"/>
      <c r="H73" s="7">
        <v>384</v>
      </c>
      <c r="I73" s="7" t="s">
        <v>152</v>
      </c>
      <c r="J73" s="8"/>
      <c r="K73" s="23">
        <v>44410</v>
      </c>
    </row>
    <row r="74" spans="4:11" x14ac:dyDescent="0.35">
      <c r="D74" s="74" t="s">
        <v>153</v>
      </c>
      <c r="E74" s="17" t="s">
        <v>154</v>
      </c>
      <c r="F74" s="7" t="s">
        <v>155</v>
      </c>
      <c r="G74" s="7"/>
      <c r="H74" s="7"/>
      <c r="I74" s="7" t="s">
        <v>156</v>
      </c>
      <c r="J74" s="8"/>
      <c r="K74" s="23">
        <v>44428</v>
      </c>
    </row>
    <row r="75" spans="4:11" x14ac:dyDescent="0.35">
      <c r="D75" s="74" t="s">
        <v>157</v>
      </c>
      <c r="E75" s="7" t="s">
        <v>158</v>
      </c>
      <c r="F75" s="7"/>
      <c r="G75" s="7"/>
      <c r="H75" s="7"/>
      <c r="I75" s="7">
        <v>408</v>
      </c>
      <c r="J75" s="8"/>
      <c r="K75" s="23">
        <v>44438</v>
      </c>
    </row>
    <row r="76" spans="4:11" x14ac:dyDescent="0.35">
      <c r="D76" s="74" t="s">
        <v>159</v>
      </c>
      <c r="E76" s="7" t="s">
        <v>160</v>
      </c>
      <c r="F76" s="7"/>
      <c r="G76" s="7"/>
      <c r="H76" s="7"/>
      <c r="I76" s="7">
        <v>324</v>
      </c>
      <c r="J76" s="8"/>
      <c r="K76" s="23">
        <v>44452</v>
      </c>
    </row>
    <row r="77" spans="4:11" x14ac:dyDescent="0.35">
      <c r="D77" s="74" t="s">
        <v>161</v>
      </c>
      <c r="E77" s="7" t="s">
        <v>162</v>
      </c>
      <c r="F77" s="7"/>
      <c r="G77" s="7"/>
      <c r="H77" s="7">
        <v>407</v>
      </c>
      <c r="I77" s="7" t="s">
        <v>163</v>
      </c>
      <c r="J77" s="8"/>
      <c r="K77" s="23">
        <v>44466</v>
      </c>
    </row>
    <row r="78" spans="4:11" x14ac:dyDescent="0.35">
      <c r="D78" s="75" t="s">
        <v>164</v>
      </c>
      <c r="E78" s="2" t="s">
        <v>165</v>
      </c>
      <c r="F78" s="5" t="s">
        <v>166</v>
      </c>
      <c r="G78" s="2"/>
      <c r="H78" s="2" t="s">
        <v>167</v>
      </c>
      <c r="I78" s="2" t="s">
        <v>168</v>
      </c>
      <c r="J78" s="5"/>
      <c r="K78" s="24">
        <v>44476</v>
      </c>
    </row>
    <row r="79" spans="4:11" x14ac:dyDescent="0.35">
      <c r="D79" s="75" t="s">
        <v>169</v>
      </c>
      <c r="E79" s="2" t="s">
        <v>170</v>
      </c>
      <c r="F79" s="2"/>
      <c r="G79" s="2"/>
      <c r="H79" s="2"/>
      <c r="I79" s="2"/>
      <c r="J79" s="5"/>
      <c r="K79" s="24">
        <v>44487</v>
      </c>
    </row>
    <row r="80" spans="4:11" x14ac:dyDescent="0.35">
      <c r="D80" s="75" t="s">
        <v>171</v>
      </c>
      <c r="E80" s="2">
        <v>433</v>
      </c>
      <c r="F80" s="2"/>
      <c r="G80" s="2"/>
      <c r="H80" s="2"/>
      <c r="I80" s="2" t="s">
        <v>172</v>
      </c>
      <c r="J80" s="5"/>
      <c r="K80" s="24">
        <v>44501</v>
      </c>
    </row>
    <row r="81" spans="4:11" x14ac:dyDescent="0.35">
      <c r="D81" s="75" t="s">
        <v>173</v>
      </c>
      <c r="E81" s="2"/>
      <c r="F81" s="2">
        <v>410</v>
      </c>
      <c r="G81" s="2"/>
      <c r="H81" s="2"/>
      <c r="I81" s="2" t="s">
        <v>174</v>
      </c>
      <c r="J81" s="5"/>
      <c r="K81" s="24">
        <v>44517</v>
      </c>
    </row>
    <row r="82" spans="4:11" x14ac:dyDescent="0.35">
      <c r="D82" s="75" t="s">
        <v>175</v>
      </c>
      <c r="E82" s="2">
        <v>434</v>
      </c>
      <c r="F82" s="2"/>
      <c r="G82" s="2">
        <v>207</v>
      </c>
      <c r="H82" s="2"/>
      <c r="I82" s="2" t="s">
        <v>176</v>
      </c>
      <c r="J82" s="5"/>
      <c r="K82" s="24">
        <v>44529</v>
      </c>
    </row>
    <row r="83" spans="4:11" x14ac:dyDescent="0.35">
      <c r="D83" s="75" t="s">
        <v>177</v>
      </c>
      <c r="E83" s="2" t="s">
        <v>178</v>
      </c>
      <c r="F83" s="2"/>
      <c r="G83" s="2"/>
      <c r="H83" s="2"/>
      <c r="I83" s="2" t="s">
        <v>179</v>
      </c>
      <c r="J83" s="5"/>
      <c r="K83" s="24">
        <v>44543</v>
      </c>
    </row>
    <row r="84" spans="4:11" x14ac:dyDescent="0.35">
      <c r="D84" s="75" t="s">
        <v>180</v>
      </c>
      <c r="E84" s="2">
        <v>436</v>
      </c>
      <c r="F84" s="2" t="s">
        <v>181</v>
      </c>
      <c r="G84" s="2"/>
      <c r="H84" s="2"/>
      <c r="I84" s="2" t="s">
        <v>182</v>
      </c>
      <c r="J84" s="5" t="s">
        <v>183</v>
      </c>
      <c r="K84" s="24">
        <v>44581</v>
      </c>
    </row>
    <row r="85" spans="4:11" ht="29" x14ac:dyDescent="0.35">
      <c r="D85" s="75" t="s">
        <v>184</v>
      </c>
      <c r="E85" s="2" t="s">
        <v>185</v>
      </c>
      <c r="F85" s="2" t="s">
        <v>186</v>
      </c>
      <c r="G85" s="2"/>
      <c r="H85" s="2"/>
      <c r="I85" s="5" t="s">
        <v>187</v>
      </c>
      <c r="J85" s="5"/>
      <c r="K85" s="24">
        <v>44602</v>
      </c>
    </row>
    <row r="86" spans="4:11" x14ac:dyDescent="0.35">
      <c r="D86" s="75" t="s">
        <v>188</v>
      </c>
      <c r="E86" s="2">
        <v>437</v>
      </c>
      <c r="F86" s="2"/>
      <c r="G86" s="2"/>
      <c r="H86" s="2"/>
      <c r="I86" s="2" t="s">
        <v>189</v>
      </c>
      <c r="J86" s="5"/>
      <c r="K86" s="24">
        <v>44616</v>
      </c>
    </row>
    <row r="87" spans="4:11" x14ac:dyDescent="0.35">
      <c r="D87" s="75" t="s">
        <v>190</v>
      </c>
      <c r="E87" s="2" t="s">
        <v>191</v>
      </c>
      <c r="F87" s="2"/>
      <c r="G87" s="2"/>
      <c r="H87" s="2"/>
      <c r="I87" s="2" t="s">
        <v>192</v>
      </c>
      <c r="J87" s="5"/>
      <c r="K87" s="24">
        <v>44630</v>
      </c>
    </row>
    <row r="88" spans="4:11" x14ac:dyDescent="0.35">
      <c r="D88" s="75" t="s">
        <v>193</v>
      </c>
      <c r="E88" s="2" t="s">
        <v>194</v>
      </c>
      <c r="F88" s="2" t="s">
        <v>195</v>
      </c>
      <c r="G88" s="2"/>
      <c r="H88" s="2"/>
      <c r="I88" s="2" t="s">
        <v>196</v>
      </c>
      <c r="J88" s="5" t="s">
        <v>197</v>
      </c>
      <c r="K88" s="24">
        <v>44650</v>
      </c>
    </row>
    <row r="89" spans="4:11" ht="29" x14ac:dyDescent="0.35">
      <c r="D89" s="75" t="s">
        <v>198</v>
      </c>
      <c r="E89" s="4" t="s">
        <v>199</v>
      </c>
      <c r="F89" s="2" t="s">
        <v>200</v>
      </c>
      <c r="G89" s="2"/>
      <c r="H89" s="2"/>
      <c r="I89" s="2" t="s">
        <v>201</v>
      </c>
      <c r="J89" s="5" t="s">
        <v>202</v>
      </c>
      <c r="K89" s="24">
        <v>44658</v>
      </c>
    </row>
    <row r="90" spans="4:11" ht="98.5" customHeight="1" x14ac:dyDescent="0.35">
      <c r="D90" s="75" t="s">
        <v>203</v>
      </c>
      <c r="E90" s="4">
        <v>448</v>
      </c>
      <c r="F90" s="2" t="s">
        <v>204</v>
      </c>
      <c r="G90" s="2"/>
      <c r="H90" s="2"/>
      <c r="I90" s="5" t="s">
        <v>205</v>
      </c>
      <c r="J90" s="97" t="s">
        <v>206</v>
      </c>
      <c r="K90" s="24">
        <v>44672</v>
      </c>
    </row>
    <row r="91" spans="4:11" x14ac:dyDescent="0.35">
      <c r="D91" s="75" t="s">
        <v>207</v>
      </c>
      <c r="E91" s="4" t="s">
        <v>208</v>
      </c>
      <c r="F91" s="2" t="s">
        <v>209</v>
      </c>
      <c r="G91" s="2"/>
      <c r="H91" s="2"/>
      <c r="I91" s="5" t="s">
        <v>210</v>
      </c>
      <c r="J91" s="97"/>
      <c r="K91" s="24">
        <v>44686</v>
      </c>
    </row>
    <row r="92" spans="4:11" x14ac:dyDescent="0.35">
      <c r="D92" s="75" t="s">
        <v>211</v>
      </c>
      <c r="E92" s="4" t="s">
        <v>212</v>
      </c>
      <c r="F92" s="2" t="s">
        <v>213</v>
      </c>
      <c r="G92" s="2"/>
      <c r="H92" s="5" t="s">
        <v>214</v>
      </c>
      <c r="I92" s="5" t="s">
        <v>215</v>
      </c>
      <c r="J92" s="97"/>
      <c r="K92" s="24">
        <v>44700</v>
      </c>
    </row>
    <row r="93" spans="4:11" x14ac:dyDescent="0.35">
      <c r="D93" s="75" t="s">
        <v>216</v>
      </c>
      <c r="E93" s="4">
        <v>454</v>
      </c>
      <c r="F93" s="2"/>
      <c r="G93" s="2"/>
      <c r="H93" s="2">
        <v>384</v>
      </c>
      <c r="I93" s="5" t="s">
        <v>217</v>
      </c>
      <c r="J93" s="97"/>
      <c r="K93" s="24">
        <v>44713</v>
      </c>
    </row>
    <row r="94" spans="4:11" x14ac:dyDescent="0.35">
      <c r="D94" s="75" t="s">
        <v>218</v>
      </c>
      <c r="E94" s="4" t="s">
        <v>219</v>
      </c>
      <c r="F94" s="2" t="s">
        <v>220</v>
      </c>
      <c r="G94" s="2">
        <v>409</v>
      </c>
      <c r="H94" s="2"/>
      <c r="I94" s="5" t="s">
        <v>221</v>
      </c>
      <c r="J94" s="5" t="s">
        <v>222</v>
      </c>
      <c r="K94" s="24">
        <v>44728</v>
      </c>
    </row>
    <row r="95" spans="4:11" ht="115" customHeight="1" x14ac:dyDescent="0.35">
      <c r="D95" s="75" t="s">
        <v>223</v>
      </c>
      <c r="E95" s="4" t="s">
        <v>224</v>
      </c>
      <c r="F95" s="2"/>
      <c r="G95" s="2"/>
      <c r="H95" s="2"/>
      <c r="I95" s="5" t="s">
        <v>225</v>
      </c>
      <c r="J95" s="97" t="s">
        <v>226</v>
      </c>
      <c r="K95" s="24">
        <v>44742</v>
      </c>
    </row>
    <row r="96" spans="4:11" ht="106" customHeight="1" x14ac:dyDescent="0.35">
      <c r="D96" s="75" t="s">
        <v>227</v>
      </c>
      <c r="E96" s="4">
        <v>460</v>
      </c>
      <c r="F96" s="2"/>
      <c r="G96" s="2"/>
      <c r="H96" s="2"/>
      <c r="I96" s="5" t="s">
        <v>228</v>
      </c>
      <c r="J96" s="5" t="s">
        <v>229</v>
      </c>
      <c r="K96" s="24">
        <v>44756</v>
      </c>
    </row>
    <row r="97" spans="4:11" x14ac:dyDescent="0.35">
      <c r="D97" s="75" t="s">
        <v>230</v>
      </c>
      <c r="E97" s="4" t="s">
        <v>231</v>
      </c>
      <c r="F97" s="2" t="s">
        <v>232</v>
      </c>
      <c r="G97" s="2"/>
      <c r="H97" s="2">
        <v>460</v>
      </c>
      <c r="I97" s="5" t="s">
        <v>233</v>
      </c>
      <c r="J97" s="5"/>
      <c r="K97" s="24">
        <v>44770</v>
      </c>
    </row>
    <row r="98" spans="4:11" ht="101.5" x14ac:dyDescent="0.35">
      <c r="D98" s="75" t="s">
        <v>234</v>
      </c>
      <c r="E98" s="98" t="s">
        <v>235</v>
      </c>
      <c r="F98" s="2" t="s">
        <v>236</v>
      </c>
      <c r="G98" s="2"/>
      <c r="H98" s="2"/>
      <c r="I98" s="5" t="s">
        <v>237</v>
      </c>
      <c r="J98" s="5" t="s">
        <v>238</v>
      </c>
      <c r="K98" s="24">
        <v>44791</v>
      </c>
    </row>
    <row r="99" spans="4:11" x14ac:dyDescent="0.35">
      <c r="D99" s="75" t="s">
        <v>239</v>
      </c>
      <c r="E99" s="98" t="s">
        <v>240</v>
      </c>
      <c r="F99" s="2" t="s">
        <v>241</v>
      </c>
      <c r="G99" s="2"/>
      <c r="H99" s="5"/>
      <c r="I99" s="5" t="s">
        <v>242</v>
      </c>
      <c r="J99" s="5"/>
      <c r="K99" s="24">
        <v>44805</v>
      </c>
    </row>
    <row r="100" spans="4:11" x14ac:dyDescent="0.35">
      <c r="D100" s="75" t="s">
        <v>243</v>
      </c>
      <c r="E100" s="98">
        <v>470</v>
      </c>
      <c r="F100" s="2"/>
      <c r="G100" s="2"/>
      <c r="H100" s="5"/>
      <c r="I100" s="5"/>
      <c r="J100" s="5"/>
      <c r="K100" s="24">
        <v>44819</v>
      </c>
    </row>
    <row r="101" spans="4:11" ht="29" x14ac:dyDescent="0.35">
      <c r="D101" s="75" t="s">
        <v>244</v>
      </c>
      <c r="E101" s="98" t="s">
        <v>245</v>
      </c>
      <c r="F101" s="5" t="s">
        <v>246</v>
      </c>
      <c r="G101" s="2"/>
      <c r="H101" s="5"/>
      <c r="I101" s="5" t="s">
        <v>247</v>
      </c>
      <c r="J101" s="5" t="s">
        <v>248</v>
      </c>
      <c r="K101" s="24">
        <v>44833</v>
      </c>
    </row>
    <row r="102" spans="4:11" ht="116" x14ac:dyDescent="0.35">
      <c r="D102" s="75" t="s">
        <v>249</v>
      </c>
      <c r="E102" s="98" t="s">
        <v>250</v>
      </c>
      <c r="F102" s="5"/>
      <c r="G102" s="2"/>
      <c r="H102" s="5">
        <v>369.7</v>
      </c>
      <c r="I102" s="5" t="s">
        <v>251</v>
      </c>
      <c r="J102" s="5" t="s">
        <v>252</v>
      </c>
      <c r="K102" s="24">
        <v>44847</v>
      </c>
    </row>
    <row r="103" spans="4:11" x14ac:dyDescent="0.35">
      <c r="D103" s="75" t="s">
        <v>253</v>
      </c>
      <c r="E103" s="98"/>
      <c r="F103" s="5">
        <v>447</v>
      </c>
      <c r="G103" s="2"/>
      <c r="H103" s="5"/>
      <c r="I103" s="5" t="s">
        <v>254</v>
      </c>
      <c r="J103" s="5" t="s">
        <v>255</v>
      </c>
      <c r="K103" s="24">
        <v>44861</v>
      </c>
    </row>
    <row r="104" spans="4:11" ht="132" customHeight="1" x14ac:dyDescent="0.35">
      <c r="D104" s="75" t="s">
        <v>256</v>
      </c>
      <c r="E104" s="98">
        <v>476</v>
      </c>
      <c r="F104" s="5"/>
      <c r="G104" s="2"/>
      <c r="H104" s="5" t="s">
        <v>257</v>
      </c>
      <c r="I104" s="5"/>
      <c r="J104" s="5"/>
      <c r="K104" s="24">
        <v>44875</v>
      </c>
    </row>
    <row r="105" spans="4:11" x14ac:dyDescent="0.35">
      <c r="D105" s="75" t="s">
        <v>258</v>
      </c>
      <c r="E105" s="98" t="s">
        <v>259</v>
      </c>
      <c r="F105" s="5"/>
      <c r="G105" s="2"/>
      <c r="H105" s="5"/>
      <c r="I105" s="101" t="s">
        <v>260</v>
      </c>
      <c r="J105" s="5"/>
      <c r="K105" s="24">
        <v>44889</v>
      </c>
    </row>
    <row r="106" spans="4:11" ht="58" x14ac:dyDescent="0.35">
      <c r="D106" s="75" t="s">
        <v>261</v>
      </c>
      <c r="E106" s="98" t="s">
        <v>262</v>
      </c>
      <c r="F106" s="5" t="s">
        <v>263</v>
      </c>
      <c r="G106" s="2"/>
      <c r="H106" s="5"/>
      <c r="I106" s="101" t="s">
        <v>264</v>
      </c>
      <c r="J106" s="5" t="s">
        <v>265</v>
      </c>
      <c r="K106" s="24">
        <v>44909</v>
      </c>
    </row>
    <row r="107" spans="4:11" x14ac:dyDescent="0.35">
      <c r="D107" s="75" t="s">
        <v>266</v>
      </c>
      <c r="E107" s="98" t="s">
        <v>267</v>
      </c>
      <c r="F107" s="5" t="s">
        <v>268</v>
      </c>
      <c r="G107" s="2"/>
      <c r="H107" s="5"/>
      <c r="I107" s="101"/>
      <c r="J107" s="5"/>
      <c r="K107" s="24">
        <v>44915</v>
      </c>
    </row>
    <row r="108" spans="4:11" x14ac:dyDescent="0.35">
      <c r="D108" s="75" t="s">
        <v>269</v>
      </c>
      <c r="E108" s="98" t="s">
        <v>270</v>
      </c>
      <c r="F108" s="5" t="s">
        <v>271</v>
      </c>
      <c r="G108" s="2"/>
      <c r="H108" s="10"/>
      <c r="I108" s="5" t="s">
        <v>272</v>
      </c>
      <c r="J108" s="5"/>
      <c r="K108" s="24">
        <v>44931</v>
      </c>
    </row>
    <row r="109" spans="4:11" x14ac:dyDescent="0.35">
      <c r="D109" s="75" t="s">
        <v>273</v>
      </c>
      <c r="E109" s="98" t="s">
        <v>274</v>
      </c>
      <c r="F109" s="5"/>
      <c r="G109" s="2"/>
      <c r="H109" s="10"/>
      <c r="I109" s="5" t="s">
        <v>275</v>
      </c>
      <c r="J109" s="5"/>
      <c r="K109" s="24">
        <v>44938</v>
      </c>
    </row>
    <row r="110" spans="4:11" ht="29" x14ac:dyDescent="0.35">
      <c r="D110" s="75" t="s">
        <v>276</v>
      </c>
      <c r="E110" s="98" t="s">
        <v>277</v>
      </c>
      <c r="F110" s="5" t="s">
        <v>278</v>
      </c>
      <c r="G110" s="2"/>
      <c r="H110" s="10"/>
      <c r="I110" s="5" t="s">
        <v>279</v>
      </c>
      <c r="J110" s="5" t="s">
        <v>280</v>
      </c>
      <c r="K110" s="24">
        <v>44945</v>
      </c>
    </row>
    <row r="111" spans="4:11" x14ac:dyDescent="0.35">
      <c r="D111" s="75" t="s">
        <v>281</v>
      </c>
      <c r="E111" s="98">
        <v>498</v>
      </c>
      <c r="F111" s="5"/>
      <c r="G111" s="2"/>
      <c r="H111" s="10"/>
      <c r="I111" s="5"/>
      <c r="J111" s="5"/>
      <c r="K111" s="24">
        <v>44959</v>
      </c>
    </row>
    <row r="112" spans="4:11" ht="43.5" x14ac:dyDescent="0.35">
      <c r="D112" s="75" t="s">
        <v>282</v>
      </c>
      <c r="E112" s="98" t="s">
        <v>283</v>
      </c>
      <c r="F112" s="108" t="s">
        <v>284</v>
      </c>
      <c r="G112" s="2"/>
      <c r="H112" s="10"/>
      <c r="I112" s="98"/>
      <c r="J112" s="109" t="s">
        <v>285</v>
      </c>
      <c r="K112" s="24">
        <v>44979</v>
      </c>
    </row>
    <row r="113" spans="4:11" x14ac:dyDescent="0.35">
      <c r="D113" s="75" t="s">
        <v>286</v>
      </c>
      <c r="E113" s="98">
        <v>507</v>
      </c>
      <c r="F113" s="10"/>
      <c r="G113" s="2"/>
      <c r="H113" s="10"/>
      <c r="I113" s="98" t="s">
        <v>287</v>
      </c>
      <c r="J113" s="109"/>
      <c r="K113" s="24">
        <v>44987</v>
      </c>
    </row>
    <row r="114" spans="4:11" ht="29" x14ac:dyDescent="0.35">
      <c r="D114" s="75" t="s">
        <v>288</v>
      </c>
      <c r="E114" s="98" t="s">
        <v>289</v>
      </c>
      <c r="F114" s="5" t="s">
        <v>290</v>
      </c>
      <c r="G114" s="2"/>
      <c r="H114" s="10"/>
      <c r="I114" s="98" t="s">
        <v>291</v>
      </c>
      <c r="J114" s="109"/>
      <c r="K114" s="24">
        <v>45001</v>
      </c>
    </row>
    <row r="115" spans="4:11" x14ac:dyDescent="0.35">
      <c r="D115" s="75" t="s">
        <v>292</v>
      </c>
      <c r="E115" s="98" t="s">
        <v>293</v>
      </c>
      <c r="F115" s="5" t="s">
        <v>294</v>
      </c>
      <c r="G115" s="2"/>
      <c r="H115" s="10"/>
      <c r="I115" s="98" t="s">
        <v>295</v>
      </c>
      <c r="J115" s="109"/>
      <c r="K115" s="24">
        <v>45016</v>
      </c>
    </row>
    <row r="116" spans="4:11" ht="29" x14ac:dyDescent="0.35">
      <c r="D116" s="75" t="s">
        <v>296</v>
      </c>
      <c r="E116" s="75" t="s">
        <v>297</v>
      </c>
      <c r="F116" s="75"/>
      <c r="G116" s="75"/>
      <c r="H116" s="75"/>
      <c r="I116" s="98" t="s">
        <v>298</v>
      </c>
      <c r="J116" s="109" t="s">
        <v>299</v>
      </c>
      <c r="K116" s="24">
        <v>45029</v>
      </c>
    </row>
    <row r="117" spans="4:11" s="1" customFormat="1" x14ac:dyDescent="0.35">
      <c r="D117" s="75" t="s">
        <v>300</v>
      </c>
      <c r="E117" s="2" t="s">
        <v>301</v>
      </c>
      <c r="F117" s="98" t="s">
        <v>298</v>
      </c>
      <c r="G117" s="2"/>
      <c r="H117" s="2"/>
      <c r="I117" s="2" t="s">
        <v>302</v>
      </c>
      <c r="J117" s="5"/>
      <c r="K117" s="24">
        <v>45036</v>
      </c>
    </row>
    <row r="118" spans="4:11" s="1" customFormat="1" x14ac:dyDescent="0.35">
      <c r="D118" s="75" t="s">
        <v>303</v>
      </c>
      <c r="E118" s="2"/>
      <c r="F118" s="5" t="s">
        <v>304</v>
      </c>
      <c r="G118" s="2"/>
      <c r="H118" s="2"/>
      <c r="I118" s="2"/>
      <c r="J118" s="5"/>
      <c r="K118" s="24">
        <v>45043</v>
      </c>
    </row>
    <row r="119" spans="4:11" s="1" customFormat="1" x14ac:dyDescent="0.35">
      <c r="D119" s="75" t="s">
        <v>305</v>
      </c>
      <c r="E119" s="2"/>
      <c r="F119" s="2">
        <v>490</v>
      </c>
      <c r="G119" s="2"/>
      <c r="H119" s="2"/>
      <c r="I119" s="2"/>
      <c r="J119" s="5"/>
      <c r="K119" s="24">
        <v>45057</v>
      </c>
    </row>
    <row r="120" spans="4:11" s="1" customFormat="1" ht="29" x14ac:dyDescent="0.35">
      <c r="D120" s="75" t="s">
        <v>306</v>
      </c>
      <c r="E120" s="5" t="s">
        <v>307</v>
      </c>
      <c r="F120" s="2"/>
      <c r="G120" s="2"/>
      <c r="H120" s="2"/>
      <c r="I120" s="4"/>
      <c r="J120" s="5"/>
      <c r="K120" s="24">
        <v>45071</v>
      </c>
    </row>
    <row r="121" spans="4:11" s="1" customFormat="1" x14ac:dyDescent="0.35">
      <c r="D121" s="2">
        <v>230608</v>
      </c>
      <c r="E121" s="2" t="s">
        <v>308</v>
      </c>
      <c r="F121" s="2"/>
      <c r="G121" s="2"/>
      <c r="H121" s="2">
        <v>487</v>
      </c>
      <c r="I121" s="2"/>
      <c r="J121" s="5"/>
      <c r="K121" s="24">
        <v>45085</v>
      </c>
    </row>
    <row r="122" spans="4:11" s="1" customFormat="1" ht="29" x14ac:dyDescent="0.35">
      <c r="D122" s="2">
        <v>230615</v>
      </c>
      <c r="E122" s="2" t="s">
        <v>309</v>
      </c>
      <c r="F122" s="5" t="s">
        <v>310</v>
      </c>
      <c r="G122" s="2"/>
      <c r="H122" s="2"/>
      <c r="I122" s="2"/>
      <c r="J122" s="5"/>
      <c r="K122" s="24">
        <v>45092</v>
      </c>
    </row>
    <row r="123" spans="4:11" s="1" customFormat="1" ht="27.65" customHeight="1" x14ac:dyDescent="0.35">
      <c r="D123" s="2">
        <v>230622</v>
      </c>
      <c r="E123" s="2" t="s">
        <v>311</v>
      </c>
      <c r="F123" s="2"/>
      <c r="G123" s="2"/>
      <c r="H123" s="2"/>
      <c r="I123" s="2" t="s">
        <v>312</v>
      </c>
      <c r="J123" s="5" t="s">
        <v>313</v>
      </c>
      <c r="K123" s="24">
        <v>45099</v>
      </c>
    </row>
    <row r="124" spans="4:11" s="1" customFormat="1" x14ac:dyDescent="0.35">
      <c r="D124" s="2">
        <v>230706</v>
      </c>
      <c r="E124" s="2" t="s">
        <v>314</v>
      </c>
      <c r="F124" s="2"/>
      <c r="G124" s="2"/>
      <c r="H124" s="2"/>
      <c r="I124" s="2" t="s">
        <v>315</v>
      </c>
      <c r="J124" s="5"/>
      <c r="K124" s="24">
        <v>45113</v>
      </c>
    </row>
    <row r="125" spans="4:11" s="1" customFormat="1" x14ac:dyDescent="0.35">
      <c r="D125" s="2">
        <v>230713</v>
      </c>
      <c r="E125" s="2" t="s">
        <v>316</v>
      </c>
      <c r="F125" s="2" t="s">
        <v>317</v>
      </c>
      <c r="G125" s="2"/>
      <c r="H125" s="2"/>
      <c r="I125" s="2" t="s">
        <v>318</v>
      </c>
      <c r="J125" s="5"/>
      <c r="K125" s="24">
        <v>45120</v>
      </c>
    </row>
    <row r="126" spans="4:11" s="1" customFormat="1" x14ac:dyDescent="0.35">
      <c r="D126" s="2">
        <v>230720</v>
      </c>
      <c r="E126" s="2" t="s">
        <v>319</v>
      </c>
      <c r="F126" s="2"/>
      <c r="G126" s="2"/>
      <c r="H126" s="2"/>
      <c r="I126" s="2"/>
      <c r="J126" s="5"/>
      <c r="K126" s="24">
        <v>45127</v>
      </c>
    </row>
    <row r="127" spans="4:11" s="1" customFormat="1" x14ac:dyDescent="0.35">
      <c r="D127" s="2">
        <v>230727</v>
      </c>
      <c r="E127" s="2">
        <v>550</v>
      </c>
      <c r="F127" s="2" t="s">
        <v>320</v>
      </c>
      <c r="G127" s="2"/>
      <c r="H127" s="2"/>
      <c r="I127" s="2">
        <v>549</v>
      </c>
      <c r="J127" s="5"/>
      <c r="K127" s="24">
        <v>45134</v>
      </c>
    </row>
    <row r="128" spans="4:11" s="1" customFormat="1" x14ac:dyDescent="0.35">
      <c r="D128" s="2">
        <v>230803</v>
      </c>
      <c r="E128" s="2" t="s">
        <v>321</v>
      </c>
      <c r="F128" s="2"/>
      <c r="G128" s="2"/>
      <c r="H128" s="2"/>
      <c r="I128" s="2">
        <v>546</v>
      </c>
      <c r="J128" s="5"/>
      <c r="K128" s="24">
        <v>45141</v>
      </c>
    </row>
    <row r="129" spans="4:11" s="1" customFormat="1" x14ac:dyDescent="0.35">
      <c r="D129" s="2">
        <v>230810</v>
      </c>
      <c r="E129" s="2">
        <v>554</v>
      </c>
      <c r="F129" s="2">
        <v>546</v>
      </c>
      <c r="G129" s="2"/>
      <c r="H129" s="2"/>
      <c r="I129" s="2"/>
      <c r="J129" s="5"/>
      <c r="K129" s="24">
        <v>45148</v>
      </c>
    </row>
    <row r="130" spans="4:11" s="1" customFormat="1" x14ac:dyDescent="0.35">
      <c r="D130" s="2">
        <v>230817</v>
      </c>
      <c r="E130" s="2">
        <v>555</v>
      </c>
      <c r="F130" s="2">
        <v>554</v>
      </c>
      <c r="G130" s="2"/>
      <c r="H130" s="2" t="s">
        <v>322</v>
      </c>
      <c r="I130" s="2" t="s">
        <v>323</v>
      </c>
      <c r="J130" s="5"/>
      <c r="K130" s="24">
        <v>45155</v>
      </c>
    </row>
    <row r="131" spans="4:11" s="1" customFormat="1" x14ac:dyDescent="0.35">
      <c r="D131" s="2">
        <v>230831</v>
      </c>
      <c r="E131" s="2"/>
      <c r="F131" s="2"/>
      <c r="G131" s="2"/>
      <c r="H131" s="2"/>
      <c r="I131" s="2" t="s">
        <v>324</v>
      </c>
      <c r="J131" s="5"/>
      <c r="K131" s="24">
        <v>45169</v>
      </c>
    </row>
    <row r="132" spans="4:11" s="1" customFormat="1" x14ac:dyDescent="0.35">
      <c r="D132" s="2">
        <v>230914</v>
      </c>
      <c r="E132" s="2" t="s">
        <v>325</v>
      </c>
      <c r="F132" s="2" t="s">
        <v>326</v>
      </c>
      <c r="G132" s="2"/>
      <c r="H132" s="2" t="s">
        <v>327</v>
      </c>
      <c r="I132" s="2"/>
      <c r="J132" s="5"/>
      <c r="K132" s="24">
        <v>45183</v>
      </c>
    </row>
    <row r="133" spans="4:11" s="1" customFormat="1" ht="76.5" customHeight="1" x14ac:dyDescent="0.35">
      <c r="D133" s="2">
        <v>230928</v>
      </c>
      <c r="E133" s="2" t="s">
        <v>328</v>
      </c>
      <c r="F133" s="2"/>
      <c r="G133" s="2" t="s">
        <v>329</v>
      </c>
      <c r="H133" s="2">
        <v>556</v>
      </c>
      <c r="I133" s="2">
        <v>264</v>
      </c>
      <c r="J133" s="5" t="s">
        <v>330</v>
      </c>
      <c r="K133" s="24">
        <v>45197</v>
      </c>
    </row>
    <row r="134" spans="4:11" s="1" customFormat="1" x14ac:dyDescent="0.35">
      <c r="D134" s="2">
        <v>231005</v>
      </c>
      <c r="E134" s="2" t="s">
        <v>331</v>
      </c>
      <c r="F134" s="2"/>
      <c r="G134" s="2"/>
      <c r="H134" s="2"/>
      <c r="I134" s="2"/>
      <c r="J134" s="5"/>
      <c r="K134" s="24">
        <v>45204</v>
      </c>
    </row>
    <row r="135" spans="4:11" s="1" customFormat="1" ht="49" customHeight="1" x14ac:dyDescent="0.35">
      <c r="D135" s="2">
        <v>231012</v>
      </c>
      <c r="E135" s="2" t="s">
        <v>332</v>
      </c>
      <c r="F135" s="2">
        <v>603</v>
      </c>
      <c r="G135" s="2"/>
      <c r="H135" s="2" t="s">
        <v>333</v>
      </c>
      <c r="I135" s="2"/>
      <c r="J135" s="5" t="s">
        <v>334</v>
      </c>
      <c r="K135" s="24">
        <v>45211</v>
      </c>
    </row>
    <row r="136" spans="4:11" s="1" customFormat="1" ht="29" x14ac:dyDescent="0.35">
      <c r="D136" s="2">
        <v>231026</v>
      </c>
      <c r="E136" s="2" t="s">
        <v>335</v>
      </c>
      <c r="F136" s="2">
        <v>550</v>
      </c>
      <c r="G136" s="2"/>
      <c r="H136" s="2">
        <v>602</v>
      </c>
      <c r="I136" s="2">
        <v>542</v>
      </c>
      <c r="J136" s="119" t="s">
        <v>336</v>
      </c>
      <c r="K136" s="24">
        <v>45225</v>
      </c>
    </row>
    <row r="137" spans="4:11" x14ac:dyDescent="0.35">
      <c r="D137" s="2">
        <v>231109</v>
      </c>
      <c r="E137" s="2" t="s">
        <v>337</v>
      </c>
      <c r="F137" s="2" t="s">
        <v>338</v>
      </c>
      <c r="G137" s="2"/>
      <c r="H137" s="2">
        <v>602</v>
      </c>
      <c r="I137" s="2">
        <v>602</v>
      </c>
      <c r="J137" s="119"/>
      <c r="K137" s="24">
        <v>45239</v>
      </c>
    </row>
    <row r="138" spans="4:11" x14ac:dyDescent="0.35">
      <c r="D138" s="2">
        <v>231123</v>
      </c>
      <c r="E138" s="2"/>
      <c r="F138" s="18" t="s">
        <v>339</v>
      </c>
      <c r="G138" s="2"/>
      <c r="H138" s="2"/>
      <c r="I138" s="2" t="s">
        <v>340</v>
      </c>
      <c r="J138" s="119"/>
      <c r="K138" s="24">
        <v>45253</v>
      </c>
    </row>
    <row r="139" spans="4:11" x14ac:dyDescent="0.35">
      <c r="D139" s="2">
        <v>231130</v>
      </c>
      <c r="E139" s="2">
        <v>613</v>
      </c>
      <c r="F139" s="2" t="s">
        <v>340</v>
      </c>
      <c r="G139" s="2"/>
      <c r="H139" s="2"/>
      <c r="I139" s="2"/>
      <c r="J139" s="119"/>
      <c r="K139" s="24">
        <v>45260</v>
      </c>
    </row>
    <row r="140" spans="4:11" x14ac:dyDescent="0.35">
      <c r="D140" s="2">
        <v>231208</v>
      </c>
      <c r="E140" s="7" t="s">
        <v>341</v>
      </c>
      <c r="F140" s="2">
        <v>551</v>
      </c>
      <c r="G140" s="2"/>
      <c r="H140" s="2"/>
      <c r="I140" s="2"/>
      <c r="J140" s="119"/>
      <c r="K140" s="24">
        <v>45268</v>
      </c>
    </row>
    <row r="141" spans="4:11" x14ac:dyDescent="0.35">
      <c r="D141" s="2">
        <v>231221</v>
      </c>
      <c r="E141" s="7"/>
      <c r="F141" s="2"/>
      <c r="G141" s="2"/>
      <c r="H141" s="75" t="s">
        <v>342</v>
      </c>
      <c r="I141" s="2"/>
      <c r="J141" s="119"/>
      <c r="K141" s="24">
        <v>45281</v>
      </c>
    </row>
    <row r="142" spans="4:11" x14ac:dyDescent="0.35">
      <c r="D142" s="2">
        <v>240111</v>
      </c>
      <c r="E142" s="7"/>
      <c r="F142" s="2"/>
      <c r="G142" s="2"/>
      <c r="H142" s="75" t="s">
        <v>343</v>
      </c>
      <c r="I142" s="2" t="s">
        <v>344</v>
      </c>
      <c r="J142" s="119"/>
      <c r="K142" s="24">
        <v>45302</v>
      </c>
    </row>
    <row r="143" spans="4:11" x14ac:dyDescent="0.35">
      <c r="D143" s="2">
        <v>240116</v>
      </c>
      <c r="E143" s="7" t="s">
        <v>345</v>
      </c>
      <c r="F143" s="2"/>
      <c r="G143" s="2"/>
      <c r="H143" s="75" t="s">
        <v>346</v>
      </c>
      <c r="I143" s="2"/>
      <c r="J143" s="119"/>
      <c r="K143" s="24">
        <v>45307</v>
      </c>
    </row>
    <row r="144" spans="4:11" ht="29" x14ac:dyDescent="0.35">
      <c r="D144" s="2">
        <v>240125</v>
      </c>
      <c r="E144" s="2" t="s">
        <v>347</v>
      </c>
      <c r="F144" s="2">
        <v>508</v>
      </c>
      <c r="G144" s="2"/>
      <c r="H144" s="2">
        <v>614</v>
      </c>
      <c r="I144" s="2"/>
      <c r="J144" s="119" t="s">
        <v>348</v>
      </c>
      <c r="K144" s="24">
        <v>45316</v>
      </c>
    </row>
    <row r="145" spans="4:11" x14ac:dyDescent="0.35">
      <c r="D145" s="2">
        <v>240208</v>
      </c>
      <c r="E145" s="2">
        <v>617</v>
      </c>
      <c r="F145" s="2"/>
      <c r="G145" s="2"/>
      <c r="H145" s="2"/>
      <c r="I145" s="2"/>
      <c r="J145" s="119"/>
      <c r="K145" s="24">
        <v>45330</v>
      </c>
    </row>
    <row r="146" spans="4:11" x14ac:dyDescent="0.35">
      <c r="D146" s="2">
        <v>240216</v>
      </c>
      <c r="E146" s="2">
        <v>618</v>
      </c>
      <c r="F146" s="2"/>
      <c r="G146" s="2"/>
      <c r="H146" s="2">
        <v>617</v>
      </c>
      <c r="I146" s="2"/>
      <c r="J146" s="119"/>
      <c r="K146" s="24">
        <v>45338</v>
      </c>
    </row>
    <row r="147" spans="4:11" x14ac:dyDescent="0.35">
      <c r="D147" s="2">
        <v>240222</v>
      </c>
      <c r="E147" s="2"/>
      <c r="F147" s="2"/>
      <c r="G147" s="2"/>
      <c r="H147" s="2"/>
      <c r="I147" s="2" t="s">
        <v>349</v>
      </c>
      <c r="J147" s="119"/>
      <c r="K147" s="24">
        <v>45344</v>
      </c>
    </row>
    <row r="148" spans="4:11" x14ac:dyDescent="0.35">
      <c r="D148" s="2">
        <v>240304</v>
      </c>
      <c r="E148" s="2"/>
      <c r="F148" s="2">
        <v>617</v>
      </c>
      <c r="G148" s="2"/>
      <c r="H148" s="2"/>
      <c r="I148" s="2"/>
      <c r="J148" s="119"/>
      <c r="K148" s="24">
        <v>45355</v>
      </c>
    </row>
    <row r="149" spans="4:11" x14ac:dyDescent="0.35">
      <c r="D149" s="2">
        <v>240307</v>
      </c>
      <c r="E149" s="2"/>
      <c r="F149" s="2"/>
      <c r="G149" s="2"/>
      <c r="H149" s="2"/>
      <c r="I149" s="2" t="s">
        <v>350</v>
      </c>
      <c r="J149" s="119"/>
      <c r="K149" s="24">
        <v>45358</v>
      </c>
    </row>
    <row r="150" spans="4:11" x14ac:dyDescent="0.35">
      <c r="D150" s="2">
        <v>240314</v>
      </c>
      <c r="E150" s="2"/>
      <c r="F150" s="2" t="s">
        <v>350</v>
      </c>
      <c r="G150" s="2"/>
      <c r="H150" s="2"/>
      <c r="I150" s="2"/>
      <c r="J150" s="119"/>
      <c r="K150" s="24">
        <v>45365</v>
      </c>
    </row>
    <row r="151" spans="4:11" x14ac:dyDescent="0.35">
      <c r="D151" s="2">
        <v>240318</v>
      </c>
      <c r="E151" s="2"/>
      <c r="F151" s="2"/>
      <c r="G151" s="2">
        <v>558</v>
      </c>
      <c r="H151" s="2"/>
      <c r="I151" s="2" t="s">
        <v>351</v>
      </c>
      <c r="J151" s="119"/>
      <c r="K151" s="24">
        <v>45369</v>
      </c>
    </row>
    <row r="152" spans="4:11" x14ac:dyDescent="0.35">
      <c r="D152" s="2">
        <v>240321</v>
      </c>
      <c r="E152" s="2" t="s">
        <v>352</v>
      </c>
      <c r="F152" s="2"/>
      <c r="G152" s="2"/>
      <c r="H152" s="2">
        <v>604</v>
      </c>
      <c r="I152" s="2"/>
      <c r="J152" s="119"/>
      <c r="K152" s="24">
        <v>45372</v>
      </c>
    </row>
    <row r="153" spans="4:11" x14ac:dyDescent="0.35">
      <c r="D153" s="2">
        <v>240404</v>
      </c>
      <c r="E153" s="2" t="s">
        <v>353</v>
      </c>
      <c r="F153" s="2"/>
      <c r="G153" s="2"/>
      <c r="H153" s="2" t="s">
        <v>354</v>
      </c>
      <c r="I153" s="2"/>
      <c r="J153" s="119"/>
      <c r="K153" s="24">
        <v>45386</v>
      </c>
    </row>
    <row r="154" spans="4:11" x14ac:dyDescent="0.35">
      <c r="D154" s="2">
        <v>240418</v>
      </c>
      <c r="E154" s="2" t="s">
        <v>355</v>
      </c>
      <c r="F154" s="2">
        <v>619</v>
      </c>
      <c r="G154" s="2"/>
      <c r="H154" s="2"/>
      <c r="I154" s="2" t="s">
        <v>356</v>
      </c>
      <c r="J154" s="119"/>
      <c r="K154" s="24">
        <v>45400</v>
      </c>
    </row>
    <row r="155" spans="4:11" x14ac:dyDescent="0.35">
      <c r="D155" s="2">
        <v>240422</v>
      </c>
      <c r="E155" s="2">
        <v>625</v>
      </c>
      <c r="F155" s="10"/>
      <c r="G155" s="10"/>
      <c r="H155" s="10"/>
      <c r="I155" s="10"/>
      <c r="J155" s="27"/>
      <c r="K155" s="24">
        <v>45404</v>
      </c>
    </row>
    <row r="156" spans="4:11" x14ac:dyDescent="0.35">
      <c r="D156" s="2">
        <v>240509</v>
      </c>
      <c r="E156" s="2"/>
      <c r="F156" s="2" t="s">
        <v>357</v>
      </c>
      <c r="G156" s="10"/>
      <c r="H156" s="10"/>
      <c r="I156" s="10"/>
      <c r="J156" s="27"/>
      <c r="K156" s="24">
        <v>45421</v>
      </c>
    </row>
    <row r="157" spans="4:11" x14ac:dyDescent="0.35">
      <c r="D157" s="2">
        <v>240516</v>
      </c>
      <c r="E157" s="2"/>
      <c r="F157" s="2"/>
      <c r="G157" s="10"/>
      <c r="H157" s="2" t="s">
        <v>358</v>
      </c>
      <c r="I157" s="2" t="s">
        <v>359</v>
      </c>
      <c r="J157" s="27"/>
      <c r="K157" s="24">
        <v>45428</v>
      </c>
    </row>
    <row r="158" spans="4:11" x14ac:dyDescent="0.35">
      <c r="D158" s="2">
        <v>240530</v>
      </c>
      <c r="E158" s="10"/>
      <c r="F158" s="2">
        <v>614</v>
      </c>
      <c r="G158" s="2"/>
      <c r="H158" s="2"/>
      <c r="I158" s="2" t="s">
        <v>360</v>
      </c>
      <c r="J158" s="27"/>
      <c r="K158" s="24">
        <v>45442</v>
      </c>
    </row>
    <row r="159" spans="4:11" x14ac:dyDescent="0.35">
      <c r="D159" s="2">
        <v>240613</v>
      </c>
      <c r="E159" s="2">
        <v>626</v>
      </c>
      <c r="F159" s="2"/>
      <c r="G159" s="2"/>
      <c r="H159" s="2"/>
      <c r="I159" s="2" t="s">
        <v>361</v>
      </c>
      <c r="J159" s="27"/>
      <c r="K159" s="24">
        <v>45456</v>
      </c>
    </row>
    <row r="160" spans="4:11" x14ac:dyDescent="0.35">
      <c r="D160" s="2">
        <v>240621</v>
      </c>
      <c r="E160" s="2"/>
      <c r="F160" s="2" t="s">
        <v>361</v>
      </c>
      <c r="G160" s="2"/>
      <c r="H160" s="2"/>
      <c r="I160" s="2"/>
      <c r="J160" s="27"/>
      <c r="K160" s="24">
        <v>45953</v>
      </c>
    </row>
    <row r="161" spans="4:11" x14ac:dyDescent="0.35">
      <c r="D161" s="2">
        <v>240627</v>
      </c>
      <c r="E161" s="2" t="s">
        <v>362</v>
      </c>
      <c r="F161" s="2"/>
      <c r="G161" s="2"/>
      <c r="H161" s="2"/>
      <c r="I161" s="2"/>
      <c r="J161" s="27"/>
      <c r="K161" s="24">
        <v>45470</v>
      </c>
    </row>
    <row r="162" spans="4:11" x14ac:dyDescent="0.35">
      <c r="D162" s="2">
        <v>240725</v>
      </c>
      <c r="E162" s="2">
        <v>630</v>
      </c>
      <c r="F162" s="2"/>
      <c r="G162" s="2"/>
      <c r="H162" s="2"/>
      <c r="I162" s="2"/>
      <c r="J162" s="27"/>
      <c r="K162" s="24">
        <v>45498</v>
      </c>
    </row>
    <row r="163" spans="4:11" x14ac:dyDescent="0.35">
      <c r="D163" s="2">
        <v>240808</v>
      </c>
      <c r="E163" s="2">
        <v>631</v>
      </c>
      <c r="F163" s="2">
        <v>618</v>
      </c>
      <c r="G163" s="2"/>
      <c r="H163" s="2"/>
      <c r="I163" s="2"/>
      <c r="J163" s="27"/>
      <c r="K163" s="24">
        <v>45512</v>
      </c>
    </row>
    <row r="164" spans="4:11" ht="43.5" x14ac:dyDescent="0.35">
      <c r="D164" s="2">
        <v>240823</v>
      </c>
      <c r="E164" s="2">
        <v>632</v>
      </c>
      <c r="F164" s="147" t="s">
        <v>363</v>
      </c>
      <c r="G164" s="10"/>
      <c r="H164" s="10"/>
      <c r="I164" s="2" t="s">
        <v>364</v>
      </c>
      <c r="J164" s="27"/>
      <c r="K164" s="24">
        <v>45527</v>
      </c>
    </row>
    <row r="165" spans="4:11" x14ac:dyDescent="0.35">
      <c r="D165" s="2">
        <v>240905</v>
      </c>
      <c r="E165" s="2" t="s">
        <v>365</v>
      </c>
      <c r="F165" s="147"/>
      <c r="G165" s="10"/>
      <c r="H165" s="10"/>
      <c r="I165" s="2" t="s">
        <v>366</v>
      </c>
      <c r="J165" s="27"/>
      <c r="K165" s="24">
        <v>45540</v>
      </c>
    </row>
    <row r="166" spans="4:11" x14ac:dyDescent="0.35">
      <c r="D166" s="2">
        <v>240919</v>
      </c>
      <c r="E166" s="7" t="s">
        <v>367</v>
      </c>
      <c r="F166" s="20" t="s">
        <v>368</v>
      </c>
      <c r="G166" s="10"/>
      <c r="H166" s="7" t="s">
        <v>369</v>
      </c>
      <c r="I166" s="7" t="s">
        <v>369</v>
      </c>
      <c r="J166" s="27"/>
      <c r="K166" s="24">
        <v>45554</v>
      </c>
    </row>
    <row r="167" spans="4:11" x14ac:dyDescent="0.35">
      <c r="D167" s="74" t="s">
        <v>370</v>
      </c>
      <c r="E167" s="7" t="s">
        <v>371</v>
      </c>
      <c r="F167" s="7" t="s">
        <v>372</v>
      </c>
      <c r="G167" s="7"/>
      <c r="H167" s="7"/>
      <c r="I167" s="7"/>
      <c r="J167" s="8"/>
      <c r="K167" s="24">
        <v>45569</v>
      </c>
    </row>
    <row r="168" spans="4:11" x14ac:dyDescent="0.35">
      <c r="D168" s="74" t="s">
        <v>373</v>
      </c>
      <c r="E168" s="7"/>
      <c r="F168" s="7" t="s">
        <v>374</v>
      </c>
      <c r="G168" s="7"/>
      <c r="H168" s="7"/>
      <c r="I168" s="7"/>
      <c r="J168" s="8"/>
      <c r="K168" s="23">
        <v>45581</v>
      </c>
    </row>
    <row r="169" spans="4:11" x14ac:dyDescent="0.35">
      <c r="D169" s="74" t="s">
        <v>375</v>
      </c>
      <c r="E169" s="7" t="s">
        <v>376</v>
      </c>
      <c r="F169" s="7"/>
      <c r="G169" s="7"/>
      <c r="H169" s="7">
        <v>640</v>
      </c>
      <c r="I169" s="7"/>
      <c r="J169" s="8"/>
      <c r="K169" s="23">
        <v>45588</v>
      </c>
    </row>
    <row r="170" spans="4:11" x14ac:dyDescent="0.35">
      <c r="D170" s="74" t="s">
        <v>377</v>
      </c>
      <c r="E170" s="7"/>
      <c r="F170" s="7"/>
      <c r="G170" s="7"/>
      <c r="H170" s="7"/>
      <c r="I170" s="7"/>
      <c r="J170" s="8"/>
      <c r="K170" s="23">
        <v>45596</v>
      </c>
    </row>
    <row r="171" spans="4:11" x14ac:dyDescent="0.35">
      <c r="D171" s="74" t="s">
        <v>378</v>
      </c>
      <c r="E171" s="7"/>
      <c r="F171" s="7"/>
      <c r="G171" s="7"/>
      <c r="H171" s="7"/>
      <c r="I171" s="7">
        <v>632</v>
      </c>
      <c r="J171" s="8"/>
      <c r="K171" s="23">
        <v>45610</v>
      </c>
    </row>
    <row r="172" spans="4:11" x14ac:dyDescent="0.35">
      <c r="D172" s="74" t="s">
        <v>379</v>
      </c>
      <c r="E172" s="7">
        <v>647</v>
      </c>
      <c r="F172" s="7"/>
      <c r="G172" s="7"/>
      <c r="H172" s="7"/>
      <c r="I172" s="7" t="s">
        <v>380</v>
      </c>
      <c r="J172" s="8"/>
      <c r="K172" s="23">
        <v>45624</v>
      </c>
    </row>
    <row r="173" spans="4:11" x14ac:dyDescent="0.35">
      <c r="D173" s="74" t="s">
        <v>381</v>
      </c>
      <c r="E173" s="7"/>
      <c r="F173" s="7"/>
      <c r="G173" s="7"/>
      <c r="H173" s="7"/>
      <c r="I173" s="7">
        <v>634</v>
      </c>
      <c r="J173" s="8"/>
      <c r="K173" s="23">
        <v>45638</v>
      </c>
    </row>
    <row r="174" spans="4:11" x14ac:dyDescent="0.35">
      <c r="D174" s="74" t="s">
        <v>382</v>
      </c>
      <c r="E174" s="7"/>
      <c r="F174" s="7" t="s">
        <v>380</v>
      </c>
      <c r="G174" s="7"/>
      <c r="H174" s="7"/>
      <c r="I174" s="7"/>
      <c r="J174" s="8"/>
      <c r="K174" s="23">
        <v>45643</v>
      </c>
    </row>
    <row r="175" spans="4:11" x14ac:dyDescent="0.35">
      <c r="D175" s="74" t="s">
        <v>383</v>
      </c>
      <c r="E175" s="7"/>
      <c r="F175" s="7"/>
      <c r="G175" s="7"/>
      <c r="H175" s="7"/>
      <c r="I175" s="7">
        <v>627</v>
      </c>
      <c r="J175" s="8"/>
      <c r="K175" s="23">
        <v>45666</v>
      </c>
    </row>
    <row r="176" spans="4:11" x14ac:dyDescent="0.35">
      <c r="D176" s="74" t="s">
        <v>384</v>
      </c>
      <c r="E176" s="7">
        <v>648</v>
      </c>
      <c r="F176" s="7"/>
      <c r="G176" s="7"/>
      <c r="H176" s="7"/>
      <c r="I176" s="7"/>
      <c r="J176" s="8"/>
      <c r="K176" s="23">
        <v>45680</v>
      </c>
    </row>
    <row r="177" spans="4:11" x14ac:dyDescent="0.35">
      <c r="D177" s="74" t="s">
        <v>385</v>
      </c>
      <c r="E177" s="7"/>
      <c r="F177" s="7">
        <v>641</v>
      </c>
      <c r="G177" s="7"/>
      <c r="H177" s="7"/>
      <c r="I177" s="7"/>
      <c r="J177" s="8"/>
      <c r="K177" s="23">
        <v>45708</v>
      </c>
    </row>
    <row r="178" spans="4:11" x14ac:dyDescent="0.35">
      <c r="D178" s="74" t="s">
        <v>386</v>
      </c>
      <c r="E178" s="7" t="s">
        <v>387</v>
      </c>
      <c r="F178" s="7">
        <v>539</v>
      </c>
      <c r="G178" s="7"/>
      <c r="H178" s="7" t="s">
        <v>388</v>
      </c>
      <c r="I178" s="7"/>
      <c r="J178" s="8" t="s">
        <v>389</v>
      </c>
      <c r="K178" s="23">
        <v>45722</v>
      </c>
    </row>
    <row r="179" spans="4:11" x14ac:dyDescent="0.35">
      <c r="D179" s="74" t="s">
        <v>390</v>
      </c>
      <c r="E179" s="7"/>
      <c r="F179" s="7"/>
      <c r="G179" s="7"/>
      <c r="H179" s="7"/>
      <c r="I179" s="7" t="s">
        <v>391</v>
      </c>
      <c r="J179" s="8"/>
      <c r="K179" s="23">
        <v>45736</v>
      </c>
    </row>
    <row r="180" spans="4:11" ht="72.5" x14ac:dyDescent="0.35">
      <c r="D180" s="74" t="s">
        <v>392</v>
      </c>
      <c r="E180" s="8" t="s">
        <v>393</v>
      </c>
      <c r="F180" s="7" t="s">
        <v>394</v>
      </c>
      <c r="G180" s="7"/>
      <c r="H180" s="7" t="s">
        <v>395</v>
      </c>
      <c r="I180" s="7"/>
      <c r="J180" s="8" t="s">
        <v>396</v>
      </c>
      <c r="K180" s="23">
        <v>45750</v>
      </c>
    </row>
    <row r="181" spans="4:11" x14ac:dyDescent="0.35">
      <c r="D181" s="74" t="s">
        <v>397</v>
      </c>
      <c r="E181" s="7">
        <v>651</v>
      </c>
      <c r="F181" s="7"/>
      <c r="G181" s="7"/>
      <c r="H181" s="7"/>
      <c r="I181" s="7"/>
      <c r="J181" s="8"/>
      <c r="K181" s="23">
        <v>45764</v>
      </c>
    </row>
    <row r="182" spans="4:11" x14ac:dyDescent="0.35">
      <c r="D182" s="74" t="s">
        <v>398</v>
      </c>
      <c r="E182" s="7">
        <v>652</v>
      </c>
      <c r="F182" s="17"/>
      <c r="G182" s="7">
        <v>489</v>
      </c>
      <c r="H182" s="7"/>
      <c r="I182" s="7"/>
      <c r="J182" s="8" t="s">
        <v>399</v>
      </c>
      <c r="K182" s="23">
        <v>45792</v>
      </c>
    </row>
    <row r="183" spans="4:11" x14ac:dyDescent="0.35">
      <c r="D183" s="74" t="s">
        <v>400</v>
      </c>
      <c r="E183" s="7" t="s">
        <v>401</v>
      </c>
      <c r="F183" s="17"/>
      <c r="G183" s="7"/>
      <c r="H183" s="7"/>
      <c r="I183" s="7"/>
      <c r="J183" s="8"/>
      <c r="K183" s="23">
        <v>45806</v>
      </c>
    </row>
    <row r="184" spans="4:11" ht="29" x14ac:dyDescent="0.35">
      <c r="D184" s="74" t="s">
        <v>402</v>
      </c>
      <c r="E184" s="7"/>
      <c r="F184" s="17" t="s">
        <v>403</v>
      </c>
      <c r="G184" s="7"/>
      <c r="H184" s="7"/>
      <c r="I184" s="7"/>
      <c r="J184" s="8" t="s">
        <v>404</v>
      </c>
      <c r="K184" s="23">
        <v>45813</v>
      </c>
    </row>
    <row r="185" spans="4:11" x14ac:dyDescent="0.35">
      <c r="D185" s="74" t="s">
        <v>405</v>
      </c>
      <c r="E185" s="7"/>
      <c r="F185" s="17"/>
      <c r="G185" s="7">
        <v>334</v>
      </c>
      <c r="H185" s="7"/>
      <c r="I185" s="7"/>
      <c r="J185" s="8" t="s">
        <v>406</v>
      </c>
      <c r="K185" s="23">
        <v>45820</v>
      </c>
    </row>
    <row r="186" spans="4:11" ht="29" x14ac:dyDescent="0.35">
      <c r="D186" s="74" t="s">
        <v>407</v>
      </c>
      <c r="E186" s="7"/>
      <c r="F186" s="17" t="s">
        <v>408</v>
      </c>
      <c r="G186" s="7"/>
      <c r="H186" s="7" t="s">
        <v>409</v>
      </c>
      <c r="I186" s="7"/>
      <c r="J186" s="8" t="s">
        <v>410</v>
      </c>
      <c r="K186" s="23">
        <v>45825</v>
      </c>
    </row>
    <row r="187" spans="4:11" ht="43.5" x14ac:dyDescent="0.35">
      <c r="D187" s="74" t="s">
        <v>411</v>
      </c>
      <c r="E187" s="7"/>
      <c r="F187" s="17" t="s">
        <v>412</v>
      </c>
      <c r="G187" s="7"/>
      <c r="H187" s="7"/>
      <c r="I187" s="7" t="s">
        <v>413</v>
      </c>
      <c r="J187" s="8" t="s">
        <v>414</v>
      </c>
      <c r="K187" s="23">
        <v>45834</v>
      </c>
    </row>
    <row r="188" spans="4:11" x14ac:dyDescent="0.35">
      <c r="D188" s="74" t="s">
        <v>415</v>
      </c>
      <c r="E188" s="7" t="s">
        <v>416</v>
      </c>
      <c r="F188" s="17" t="s">
        <v>417</v>
      </c>
      <c r="G188" s="7"/>
      <c r="H188" s="7"/>
      <c r="I188" s="7"/>
      <c r="J188" s="8" t="s">
        <v>418</v>
      </c>
      <c r="K188" s="23">
        <v>45848</v>
      </c>
    </row>
    <row r="189" spans="4:11" x14ac:dyDescent="0.35">
      <c r="D189" s="74" t="s">
        <v>419</v>
      </c>
      <c r="E189" s="7"/>
      <c r="F189" s="17"/>
      <c r="G189" s="7"/>
      <c r="H189" s="7"/>
      <c r="I189" s="7">
        <v>650</v>
      </c>
      <c r="J189" s="8"/>
      <c r="K189" s="23">
        <v>45862</v>
      </c>
    </row>
    <row r="190" spans="4:11" ht="29" x14ac:dyDescent="0.35">
      <c r="D190" s="74" t="s">
        <v>420</v>
      </c>
      <c r="E190" s="7">
        <v>657</v>
      </c>
      <c r="F190" s="22" t="s">
        <v>421</v>
      </c>
      <c r="G190" s="7">
        <v>637</v>
      </c>
      <c r="H190" s="10"/>
      <c r="I190" s="7" t="s">
        <v>422</v>
      </c>
      <c r="J190" s="8"/>
      <c r="K190" s="23">
        <v>45876</v>
      </c>
    </row>
    <row r="191" spans="4:11" ht="29" x14ac:dyDescent="0.35">
      <c r="D191" s="74" t="s">
        <v>423</v>
      </c>
      <c r="E191" s="7"/>
      <c r="F191" s="22" t="s">
        <v>424</v>
      </c>
      <c r="G191" s="7"/>
      <c r="H191" s="10"/>
      <c r="I191" s="7"/>
      <c r="J191" s="8" t="s">
        <v>425</v>
      </c>
      <c r="K191" s="23">
        <v>45890</v>
      </c>
    </row>
    <row r="192" spans="4:11" x14ac:dyDescent="0.35">
      <c r="D192" s="74" t="s">
        <v>426</v>
      </c>
      <c r="E192" s="7"/>
      <c r="F192" s="22"/>
      <c r="G192" s="7"/>
      <c r="H192" s="10"/>
      <c r="I192" s="7">
        <v>647</v>
      </c>
      <c r="J192" s="8"/>
      <c r="K192" s="23">
        <v>45904</v>
      </c>
    </row>
    <row r="193" spans="4:11" x14ac:dyDescent="0.35">
      <c r="D193" s="74" t="s">
        <v>427</v>
      </c>
      <c r="E193" s="7" t="s">
        <v>428</v>
      </c>
      <c r="F193" s="22" t="s">
        <v>429</v>
      </c>
      <c r="G193" s="7"/>
      <c r="H193" s="10"/>
      <c r="I193" s="7">
        <v>640</v>
      </c>
      <c r="J193" s="8"/>
      <c r="K193" s="23">
        <v>45918</v>
      </c>
    </row>
    <row r="194" spans="4:11" x14ac:dyDescent="0.35">
      <c r="D194" s="74" t="s">
        <v>430</v>
      </c>
      <c r="E194" s="7"/>
      <c r="F194" s="22" t="s">
        <v>431</v>
      </c>
      <c r="G194" s="7">
        <v>637</v>
      </c>
      <c r="H194" s="10"/>
      <c r="I194" s="7"/>
      <c r="J194" s="8"/>
      <c r="K194" s="23">
        <v>45939</v>
      </c>
    </row>
    <row r="195" spans="4:11" x14ac:dyDescent="0.35">
      <c r="D195" s="202" t="s">
        <v>432</v>
      </c>
      <c r="E195" s="150">
        <v>661</v>
      </c>
      <c r="F195" s="203">
        <v>658</v>
      </c>
      <c r="G195" s="150"/>
      <c r="H195" s="204"/>
      <c r="I195" s="150"/>
      <c r="J195" s="154"/>
      <c r="K195" s="205">
        <v>45960</v>
      </c>
    </row>
    <row r="196" spans="4:11" x14ac:dyDescent="0.35">
      <c r="D196" s="213" t="s">
        <v>0</v>
      </c>
      <c r="E196" s="214"/>
      <c r="F196" s="215"/>
      <c r="G196" s="214"/>
      <c r="H196" s="216"/>
      <c r="I196" s="150" t="s">
        <v>433</v>
      </c>
      <c r="J196" s="157"/>
      <c r="K196" s="217">
        <v>45981</v>
      </c>
    </row>
    <row r="197" spans="4:11" x14ac:dyDescent="0.35">
      <c r="D197" s="74" t="s">
        <v>2664</v>
      </c>
      <c r="E197" s="10"/>
      <c r="F197" s="7" t="s">
        <v>433</v>
      </c>
      <c r="G197" s="10"/>
      <c r="H197" s="2">
        <v>661</v>
      </c>
      <c r="I197" s="10"/>
      <c r="J197" s="27"/>
      <c r="K197" s="23">
        <v>45995</v>
      </c>
    </row>
    <row r="198" spans="4:11" x14ac:dyDescent="0.35">
      <c r="D198" s="75" t="s">
        <v>2670</v>
      </c>
      <c r="E198" s="11"/>
      <c r="F198" s="2" t="s">
        <v>2675</v>
      </c>
      <c r="G198" s="10"/>
      <c r="H198" s="10"/>
      <c r="I198" s="10"/>
      <c r="J198" s="27"/>
      <c r="K198" s="24">
        <v>46064</v>
      </c>
    </row>
    <row r="199" spans="4:11" x14ac:dyDescent="0.35">
      <c r="D199" s="75" t="s">
        <v>2684</v>
      </c>
      <c r="E199" s="2" t="s">
        <v>2690</v>
      </c>
      <c r="F199" s="2" t="s">
        <v>2678</v>
      </c>
      <c r="G199" s="2"/>
      <c r="H199" s="2"/>
      <c r="I199" s="2">
        <v>653</v>
      </c>
      <c r="J199" s="5" t="s">
        <v>2696</v>
      </c>
      <c r="K199" s="24">
        <v>46100</v>
      </c>
    </row>
    <row r="200" spans="4:11" x14ac:dyDescent="0.35">
      <c r="D200" s="74" t="s">
        <v>2699</v>
      </c>
      <c r="E200" s="2">
        <v>665</v>
      </c>
      <c r="F200" s="10"/>
      <c r="G200" s="10"/>
      <c r="H200" s="10"/>
      <c r="I200" s="10"/>
      <c r="J200" s="27"/>
      <c r="K200" s="24">
        <v>46135</v>
      </c>
    </row>
    <row r="201" spans="4:11" x14ac:dyDescent="0.35">
      <c r="D201" s="74" t="s">
        <v>2701</v>
      </c>
      <c r="E201" s="2"/>
      <c r="F201" s="2">
        <v>634</v>
      </c>
      <c r="G201" s="10"/>
      <c r="H201" s="10"/>
      <c r="I201" s="2">
        <v>662</v>
      </c>
      <c r="J201" s="27"/>
      <c r="K201" s="24">
        <v>46163</v>
      </c>
    </row>
  </sheetData>
  <mergeCells count="2">
    <mergeCell ref="D5:K5"/>
    <mergeCell ref="D8:K8"/>
  </mergeCells>
  <phoneticPr fontId="31" type="noConversion"/>
  <pageMargins left="0.7" right="0.7" top="0.75" bottom="0.75" header="0.3" footer="0.3"/>
  <pageSetup paperSize="9" orientation="portrait" horizontalDpi="90" verticalDpi="90" r:id="rId1"/>
  <headerFooter>
    <oddFooter>&amp;C&amp;1#&amp;"Calibri"&amp;10&amp;K000000OFFICIAL</oddFooter>
  </headerFooter>
  <ignoredErrors>
    <ignoredError sqref="D60 D61:D67 D68:D72 D73:D76 D77:D83"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36"/>
  <sheetViews>
    <sheetView showGridLines="0" zoomScale="65" zoomScaleNormal="62" workbookViewId="0">
      <pane xSplit="1" ySplit="1" topLeftCell="B2" activePane="bottomRight" state="frozen"/>
      <selection pane="topRight"/>
      <selection pane="bottomLeft"/>
      <selection pane="bottomRight" activeCell="C36" sqref="C2:C36"/>
    </sheetView>
  </sheetViews>
  <sheetFormatPr defaultColWidth="25.54296875" defaultRowHeight="14.5" x14ac:dyDescent="0.35"/>
  <cols>
    <col min="1" max="1" width="8" style="111" customWidth="1"/>
    <col min="2" max="2" width="25.54296875" style="111"/>
    <col min="3" max="3" width="138.81640625" style="112" customWidth="1"/>
    <col min="4" max="4" width="74.81640625" style="111" customWidth="1"/>
    <col min="5" max="5" width="35.1796875" style="21" customWidth="1"/>
    <col min="6" max="6" width="15.54296875" style="111" customWidth="1"/>
    <col min="7" max="7" width="65.81640625" style="111" customWidth="1"/>
    <col min="8" max="16384" width="25.54296875" style="111"/>
  </cols>
  <sheetData>
    <row r="1" spans="1:7" s="29" customFormat="1" ht="115.5" customHeight="1" x14ac:dyDescent="0.35">
      <c r="A1" s="105" t="s">
        <v>521</v>
      </c>
      <c r="B1" s="26" t="s">
        <v>436</v>
      </c>
      <c r="C1" s="26" t="s">
        <v>437</v>
      </c>
      <c r="D1" s="26" t="s">
        <v>522</v>
      </c>
      <c r="E1" s="19" t="s">
        <v>523</v>
      </c>
      <c r="F1" s="26" t="s">
        <v>524</v>
      </c>
      <c r="G1" s="26" t="s">
        <v>525</v>
      </c>
    </row>
    <row r="2" spans="1:7" s="29" customFormat="1" ht="246.5" x14ac:dyDescent="0.35">
      <c r="A2" s="18">
        <v>24</v>
      </c>
      <c r="B2" s="18" t="s">
        <v>475</v>
      </c>
      <c r="C2" s="18" t="s">
        <v>526</v>
      </c>
      <c r="D2" s="18" t="s">
        <v>527</v>
      </c>
      <c r="E2" s="50" t="s">
        <v>528</v>
      </c>
      <c r="F2" s="18"/>
      <c r="G2" s="18" t="s">
        <v>529</v>
      </c>
    </row>
    <row r="3" spans="1:7" s="29" customFormat="1" ht="58" x14ac:dyDescent="0.35">
      <c r="A3" s="18">
        <v>198</v>
      </c>
      <c r="B3" s="18" t="s">
        <v>530</v>
      </c>
      <c r="C3" s="18" t="s">
        <v>531</v>
      </c>
      <c r="D3" s="18" t="s">
        <v>532</v>
      </c>
      <c r="E3" s="50" t="s">
        <v>528</v>
      </c>
      <c r="F3" s="18" t="s">
        <v>533</v>
      </c>
      <c r="G3" s="18" t="s">
        <v>534</v>
      </c>
    </row>
    <row r="4" spans="1:7" s="29" customFormat="1" ht="58" x14ac:dyDescent="0.35">
      <c r="A4" s="18">
        <v>219</v>
      </c>
      <c r="B4" s="18" t="s">
        <v>535</v>
      </c>
      <c r="C4" s="18" t="s">
        <v>536</v>
      </c>
      <c r="D4" s="18" t="s">
        <v>537</v>
      </c>
      <c r="E4" s="50" t="s">
        <v>528</v>
      </c>
      <c r="F4" s="18" t="s">
        <v>533</v>
      </c>
      <c r="G4" s="18" t="s">
        <v>538</v>
      </c>
    </row>
    <row r="5" spans="1:7" s="29" customFormat="1" ht="58" x14ac:dyDescent="0.35">
      <c r="A5" s="18">
        <v>239</v>
      </c>
      <c r="B5" s="18" t="s">
        <v>535</v>
      </c>
      <c r="C5" s="18" t="s">
        <v>539</v>
      </c>
      <c r="D5" s="18" t="s">
        <v>540</v>
      </c>
      <c r="E5" s="50" t="s">
        <v>528</v>
      </c>
      <c r="F5" s="18"/>
      <c r="G5" s="18"/>
    </row>
    <row r="6" spans="1:7" s="29" customFormat="1" ht="29" x14ac:dyDescent="0.35">
      <c r="A6" s="18">
        <v>264</v>
      </c>
      <c r="B6" s="18" t="s">
        <v>535</v>
      </c>
      <c r="C6" s="18" t="s">
        <v>541</v>
      </c>
      <c r="D6" s="18" t="s">
        <v>542</v>
      </c>
      <c r="E6" s="50" t="s">
        <v>528</v>
      </c>
      <c r="F6" s="18"/>
      <c r="G6" s="18"/>
    </row>
    <row r="7" spans="1:7" s="29" customFormat="1" ht="377" x14ac:dyDescent="0.35">
      <c r="A7" s="18">
        <v>266</v>
      </c>
      <c r="B7" s="18" t="s">
        <v>543</v>
      </c>
      <c r="C7" s="18" t="s">
        <v>544</v>
      </c>
      <c r="D7" s="18" t="s">
        <v>545</v>
      </c>
      <c r="E7" s="50" t="s">
        <v>528</v>
      </c>
      <c r="F7" s="18"/>
      <c r="G7" s="18"/>
    </row>
    <row r="8" spans="1:7" s="29" customFormat="1" ht="87" x14ac:dyDescent="0.35">
      <c r="A8" s="18">
        <v>334</v>
      </c>
      <c r="B8" s="18" t="s">
        <v>475</v>
      </c>
      <c r="C8" s="18" t="s">
        <v>546</v>
      </c>
      <c r="D8" s="18" t="s">
        <v>547</v>
      </c>
      <c r="E8" s="50" t="s">
        <v>528</v>
      </c>
      <c r="F8" s="18"/>
      <c r="G8" s="18"/>
    </row>
    <row r="9" spans="1:7" s="29" customFormat="1" ht="66.650000000000006" customHeight="1" x14ac:dyDescent="0.35">
      <c r="A9" s="18">
        <v>363</v>
      </c>
      <c r="B9" s="18" t="s">
        <v>475</v>
      </c>
      <c r="C9" s="18" t="s">
        <v>548</v>
      </c>
      <c r="D9" s="18" t="s">
        <v>549</v>
      </c>
      <c r="E9" s="50" t="s">
        <v>528</v>
      </c>
      <c r="F9" s="18"/>
      <c r="G9" s="18"/>
    </row>
    <row r="10" spans="1:7" s="29" customFormat="1" ht="100.5" customHeight="1" x14ac:dyDescent="0.35">
      <c r="A10" s="18">
        <v>411</v>
      </c>
      <c r="B10" s="18" t="s">
        <v>475</v>
      </c>
      <c r="C10" s="18" t="s">
        <v>550</v>
      </c>
      <c r="D10" s="18" t="s">
        <v>551</v>
      </c>
      <c r="E10" s="50" t="s">
        <v>528</v>
      </c>
      <c r="F10" s="18"/>
      <c r="G10" s="18"/>
    </row>
    <row r="11" spans="1:7" s="29" customFormat="1" ht="58" x14ac:dyDescent="0.35">
      <c r="A11" s="18">
        <v>413</v>
      </c>
      <c r="B11" s="18" t="s">
        <v>530</v>
      </c>
      <c r="C11" s="18" t="s">
        <v>552</v>
      </c>
      <c r="D11" s="18" t="s">
        <v>553</v>
      </c>
      <c r="E11" s="50" t="s">
        <v>528</v>
      </c>
      <c r="F11" s="18"/>
      <c r="G11" s="18"/>
    </row>
    <row r="12" spans="1:7" s="29" customFormat="1" ht="29" x14ac:dyDescent="0.35">
      <c r="A12" s="18">
        <v>414</v>
      </c>
      <c r="B12" s="18" t="s">
        <v>530</v>
      </c>
      <c r="C12" s="18" t="s">
        <v>554</v>
      </c>
      <c r="D12" s="18" t="s">
        <v>551</v>
      </c>
      <c r="E12" s="50" t="s">
        <v>528</v>
      </c>
      <c r="F12" s="18"/>
      <c r="G12" s="18"/>
    </row>
    <row r="13" spans="1:7" s="29" customFormat="1" ht="43.5" x14ac:dyDescent="0.35">
      <c r="A13" s="18">
        <v>478</v>
      </c>
      <c r="B13" s="18" t="s">
        <v>535</v>
      </c>
      <c r="C13" s="18" t="s">
        <v>555</v>
      </c>
      <c r="D13" s="18" t="s">
        <v>556</v>
      </c>
      <c r="E13" s="50" t="s">
        <v>528</v>
      </c>
      <c r="F13" s="18"/>
      <c r="G13" s="18"/>
    </row>
    <row r="14" spans="1:7" s="29" customFormat="1" ht="58" x14ac:dyDescent="0.35">
      <c r="A14" s="18">
        <v>479</v>
      </c>
      <c r="B14" s="18" t="s">
        <v>530</v>
      </c>
      <c r="C14" s="18" t="s">
        <v>557</v>
      </c>
      <c r="D14" s="18" t="s">
        <v>558</v>
      </c>
      <c r="E14" s="50" t="s">
        <v>528</v>
      </c>
      <c r="F14" s="141"/>
      <c r="G14" s="18"/>
    </row>
    <row r="15" spans="1:7" s="29" customFormat="1" ht="58" x14ac:dyDescent="0.35">
      <c r="A15" s="18">
        <v>482</v>
      </c>
      <c r="B15" s="18" t="s">
        <v>530</v>
      </c>
      <c r="C15" s="18" t="s">
        <v>559</v>
      </c>
      <c r="D15" s="18" t="s">
        <v>560</v>
      </c>
      <c r="E15" s="50" t="s">
        <v>528</v>
      </c>
      <c r="F15" s="18"/>
      <c r="G15" s="18"/>
    </row>
    <row r="16" spans="1:7" s="29" customFormat="1" ht="101.5" x14ac:dyDescent="0.35">
      <c r="A16" s="18">
        <v>487</v>
      </c>
      <c r="B16" s="18" t="s">
        <v>561</v>
      </c>
      <c r="C16" s="18" t="s">
        <v>562</v>
      </c>
      <c r="D16" s="18" t="s">
        <v>563</v>
      </c>
      <c r="E16" s="50" t="s">
        <v>528</v>
      </c>
      <c r="F16" s="18"/>
      <c r="G16" s="18"/>
    </row>
    <row r="17" spans="1:7" ht="29" x14ac:dyDescent="0.35">
      <c r="A17" s="128">
        <v>521</v>
      </c>
      <c r="B17" s="128" t="s">
        <v>475</v>
      </c>
      <c r="C17" s="128" t="s">
        <v>565</v>
      </c>
      <c r="D17" s="128" t="s">
        <v>566</v>
      </c>
      <c r="E17" s="50" t="s">
        <v>528</v>
      </c>
      <c r="F17" s="128"/>
      <c r="G17" s="128"/>
    </row>
    <row r="18" spans="1:7" ht="58" x14ac:dyDescent="0.35">
      <c r="A18" s="128">
        <v>559</v>
      </c>
      <c r="B18" s="128" t="s">
        <v>530</v>
      </c>
      <c r="C18" s="128" t="s">
        <v>567</v>
      </c>
      <c r="D18" s="128" t="s">
        <v>568</v>
      </c>
      <c r="E18" s="50" t="s">
        <v>528</v>
      </c>
      <c r="F18" s="128"/>
      <c r="G18" s="128"/>
    </row>
    <row r="19" spans="1:7" ht="58" x14ac:dyDescent="0.35">
      <c r="A19" s="128">
        <v>608</v>
      </c>
      <c r="B19" s="128" t="s">
        <v>569</v>
      </c>
      <c r="C19" s="128" t="s">
        <v>570</v>
      </c>
      <c r="D19" s="128" t="s">
        <v>571</v>
      </c>
      <c r="E19" s="50" t="s">
        <v>528</v>
      </c>
      <c r="F19" s="128"/>
      <c r="G19" s="128"/>
    </row>
    <row r="20" spans="1:7" ht="29" x14ac:dyDescent="0.35">
      <c r="A20" s="128">
        <v>611</v>
      </c>
      <c r="B20" s="128" t="s">
        <v>572</v>
      </c>
      <c r="C20" s="18" t="s">
        <v>573</v>
      </c>
      <c r="D20" s="128" t="s">
        <v>574</v>
      </c>
      <c r="E20" s="50" t="s">
        <v>528</v>
      </c>
      <c r="F20" s="128"/>
      <c r="G20" s="128"/>
    </row>
    <row r="21" spans="1:7" ht="130.5" x14ac:dyDescent="0.35">
      <c r="A21" s="107">
        <v>622</v>
      </c>
      <c r="B21" s="107" t="s">
        <v>572</v>
      </c>
      <c r="C21" s="107" t="s">
        <v>576</v>
      </c>
      <c r="D21" s="107" t="s">
        <v>577</v>
      </c>
      <c r="E21" s="18" t="s">
        <v>528</v>
      </c>
      <c r="F21" s="107"/>
      <c r="G21" s="107"/>
    </row>
    <row r="22" spans="1:7" ht="43.5" x14ac:dyDescent="0.35">
      <c r="A22" s="107">
        <v>625</v>
      </c>
      <c r="B22" s="107" t="s">
        <v>572</v>
      </c>
      <c r="C22" s="107" t="s">
        <v>578</v>
      </c>
      <c r="D22" s="107" t="s">
        <v>579</v>
      </c>
      <c r="E22" s="133" t="s">
        <v>528</v>
      </c>
      <c r="F22" s="107"/>
      <c r="G22" s="142"/>
    </row>
    <row r="23" spans="1:7" ht="29" x14ac:dyDescent="0.35">
      <c r="A23" s="107">
        <v>632</v>
      </c>
      <c r="B23" s="107" t="s">
        <v>580</v>
      </c>
      <c r="C23" s="107" t="s">
        <v>581</v>
      </c>
      <c r="D23" s="107" t="s">
        <v>582</v>
      </c>
      <c r="E23" s="18" t="s">
        <v>528</v>
      </c>
      <c r="G23" s="107"/>
    </row>
    <row r="24" spans="1:7" ht="29" x14ac:dyDescent="0.35">
      <c r="A24" s="107">
        <v>639</v>
      </c>
      <c r="B24" s="107" t="s">
        <v>543</v>
      </c>
      <c r="C24" s="111" t="s">
        <v>585</v>
      </c>
      <c r="D24" s="107" t="s">
        <v>586</v>
      </c>
      <c r="E24" s="18" t="s">
        <v>528</v>
      </c>
      <c r="F24" s="107"/>
      <c r="G24" s="107"/>
    </row>
    <row r="25" spans="1:7" ht="29" x14ac:dyDescent="0.35">
      <c r="A25" s="107">
        <v>647</v>
      </c>
      <c r="B25" s="107" t="s">
        <v>495</v>
      </c>
      <c r="C25" s="107" t="s">
        <v>589</v>
      </c>
      <c r="D25" s="107" t="s">
        <v>590</v>
      </c>
      <c r="E25" s="18" t="s">
        <v>528</v>
      </c>
      <c r="F25" s="107"/>
      <c r="G25" s="107"/>
    </row>
    <row r="26" spans="1:7" x14ac:dyDescent="0.35">
      <c r="A26" s="107">
        <v>648</v>
      </c>
      <c r="B26" s="107" t="s">
        <v>495</v>
      </c>
      <c r="C26" s="107" t="s">
        <v>591</v>
      </c>
      <c r="D26" s="107" t="s">
        <v>592</v>
      </c>
      <c r="E26" s="18" t="s">
        <v>528</v>
      </c>
      <c r="F26" s="107"/>
      <c r="G26" s="107"/>
    </row>
    <row r="27" spans="1:7" s="116" customFormat="1" ht="50.5" customHeight="1" x14ac:dyDescent="0.35">
      <c r="A27" s="107">
        <v>652</v>
      </c>
      <c r="B27" s="107" t="s">
        <v>535</v>
      </c>
      <c r="C27" s="107" t="s">
        <v>594</v>
      </c>
      <c r="D27" s="107" t="s">
        <v>595</v>
      </c>
      <c r="E27" s="18" t="s">
        <v>528</v>
      </c>
      <c r="F27" s="107"/>
      <c r="G27" s="107"/>
    </row>
    <row r="28" spans="1:7" s="116" customFormat="1" ht="50.5" customHeight="1" x14ac:dyDescent="0.35">
      <c r="A28" s="8">
        <v>653</v>
      </c>
      <c r="B28" s="8" t="s">
        <v>580</v>
      </c>
      <c r="C28" s="8" t="s">
        <v>596</v>
      </c>
      <c r="D28" s="107" t="s">
        <v>597</v>
      </c>
      <c r="E28" s="18" t="s">
        <v>2686</v>
      </c>
      <c r="F28" s="8"/>
      <c r="G28" s="8"/>
    </row>
    <row r="29" spans="1:7" s="116" customFormat="1" ht="50.5" customHeight="1" x14ac:dyDescent="0.35">
      <c r="A29" s="8">
        <v>654</v>
      </c>
      <c r="B29" s="8" t="s">
        <v>535</v>
      </c>
      <c r="C29" s="8" t="s">
        <v>598</v>
      </c>
      <c r="D29" s="8" t="s">
        <v>599</v>
      </c>
      <c r="E29" s="18" t="s">
        <v>528</v>
      </c>
      <c r="F29" s="8"/>
      <c r="G29" s="8"/>
    </row>
    <row r="30" spans="1:7" ht="43.5" x14ac:dyDescent="0.35">
      <c r="A30" s="8">
        <v>656</v>
      </c>
      <c r="B30" s="8" t="s">
        <v>475</v>
      </c>
      <c r="C30" s="8" t="s">
        <v>601</v>
      </c>
      <c r="D30" s="8" t="s">
        <v>602</v>
      </c>
      <c r="E30" s="18" t="s">
        <v>528</v>
      </c>
      <c r="F30" s="8"/>
      <c r="G30" s="8"/>
    </row>
    <row r="31" spans="1:7" ht="58" x14ac:dyDescent="0.35">
      <c r="A31" s="8">
        <v>657</v>
      </c>
      <c r="B31" s="8" t="s">
        <v>580</v>
      </c>
      <c r="C31" s="8" t="s">
        <v>603</v>
      </c>
      <c r="D31" s="192" t="s">
        <v>604</v>
      </c>
      <c r="E31" s="18" t="s">
        <v>528</v>
      </c>
      <c r="F31" s="8"/>
      <c r="G31" s="8"/>
    </row>
    <row r="32" spans="1:7" ht="114.65" customHeight="1" x14ac:dyDescent="0.35">
      <c r="A32" s="8">
        <v>661</v>
      </c>
      <c r="B32" s="8" t="s">
        <v>495</v>
      </c>
      <c r="C32" s="18" t="s">
        <v>2663</v>
      </c>
      <c r="D32" s="18" t="s">
        <v>607</v>
      </c>
      <c r="E32" s="18" t="s">
        <v>528</v>
      </c>
      <c r="F32" s="8"/>
      <c r="G32" s="8"/>
    </row>
    <row r="33" spans="1:7" ht="29" x14ac:dyDescent="0.35">
      <c r="A33" s="107">
        <v>662</v>
      </c>
      <c r="B33" s="18" t="s">
        <v>561</v>
      </c>
      <c r="C33" s="138" t="s">
        <v>2682</v>
      </c>
      <c r="D33" s="107" t="s">
        <v>2683</v>
      </c>
      <c r="E33" s="20" t="s">
        <v>2704</v>
      </c>
      <c r="F33" s="107"/>
      <c r="G33" s="107"/>
    </row>
    <row r="34" spans="1:7" ht="101.5" x14ac:dyDescent="0.35">
      <c r="A34" s="107">
        <v>663</v>
      </c>
      <c r="B34" s="128" t="s">
        <v>569</v>
      </c>
      <c r="C34" s="138" t="s">
        <v>2687</v>
      </c>
      <c r="D34" s="107" t="s">
        <v>2688</v>
      </c>
      <c r="E34" s="20" t="s">
        <v>2686</v>
      </c>
      <c r="F34" s="107"/>
      <c r="G34" s="107"/>
    </row>
    <row r="35" spans="1:7" ht="29" x14ac:dyDescent="0.35">
      <c r="A35" s="107">
        <v>664</v>
      </c>
      <c r="B35" s="107" t="s">
        <v>2694</v>
      </c>
      <c r="C35" s="138" t="s">
        <v>2691</v>
      </c>
      <c r="D35" s="107" t="s">
        <v>2692</v>
      </c>
      <c r="E35" s="20" t="s">
        <v>528</v>
      </c>
      <c r="F35" s="107"/>
      <c r="G35" s="107" t="s">
        <v>2693</v>
      </c>
    </row>
    <row r="36" spans="1:7" ht="72.5" x14ac:dyDescent="0.35">
      <c r="A36" s="107">
        <v>665</v>
      </c>
      <c r="B36" s="107" t="s">
        <v>535</v>
      </c>
      <c r="C36" s="138" t="s">
        <v>2697</v>
      </c>
      <c r="D36" s="107" t="s">
        <v>2698</v>
      </c>
      <c r="E36" s="20" t="s">
        <v>528</v>
      </c>
      <c r="F36" s="107"/>
      <c r="G36" s="107"/>
    </row>
  </sheetData>
  <autoFilter ref="A1:G32" xr:uid="{00000000-0001-0000-0200-000000000000}">
    <sortState xmlns:xlrd2="http://schemas.microsoft.com/office/spreadsheetml/2017/richdata2" ref="A2:G32">
      <sortCondition ref="A1:A32"/>
    </sortState>
  </autoFilter>
  <phoneticPr fontId="31" type="noConversion"/>
  <pageMargins left="0.7" right="0.7" top="0.75" bottom="0.75" header="0.3" footer="0.3"/>
  <pageSetup paperSize="9" orientation="portrait" r:id="rId1"/>
  <headerFooter>
    <oddFooter>&amp;C&amp;1#&amp;"Calibri"&amp;10&amp;K000000OFFICIAL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23"/>
  <sheetViews>
    <sheetView showGridLines="0" zoomScale="63" zoomScaleNormal="80" workbookViewId="0">
      <pane ySplit="1" topLeftCell="A17" activePane="bottomLeft" state="frozen"/>
      <selection pane="bottomLeft" activeCell="D22" sqref="D22"/>
    </sheetView>
  </sheetViews>
  <sheetFormatPr defaultColWidth="8.7265625" defaultRowHeight="14.5" x14ac:dyDescent="0.35"/>
  <cols>
    <col min="1" max="1" width="21.54296875" style="30" customWidth="1"/>
    <col min="2" max="2" width="15.453125" style="30" customWidth="1"/>
    <col min="3" max="3" width="25.7265625" style="30" bestFit="1" customWidth="1"/>
    <col min="4" max="4" width="87.453125" style="95" customWidth="1"/>
    <col min="5" max="5" width="66.54296875" style="29" customWidth="1"/>
    <col min="6" max="6" width="53.453125" style="30" customWidth="1"/>
  </cols>
  <sheetData>
    <row r="1" spans="1:8" ht="60" customHeight="1" x14ac:dyDescent="0.35">
      <c r="A1" s="32" t="s">
        <v>434</v>
      </c>
      <c r="B1" s="32" t="s">
        <v>435</v>
      </c>
      <c r="C1" s="32" t="s">
        <v>436</v>
      </c>
      <c r="D1" s="118" t="s">
        <v>437</v>
      </c>
      <c r="E1" s="28" t="s">
        <v>438</v>
      </c>
      <c r="F1" s="33" t="s">
        <v>439</v>
      </c>
    </row>
    <row r="2" spans="1:8" ht="325" hidden="1" customHeight="1" x14ac:dyDescent="0.35">
      <c r="A2" s="77" t="s">
        <v>440</v>
      </c>
      <c r="B2" s="77" t="s">
        <v>441</v>
      </c>
      <c r="C2" s="77" t="s">
        <v>442</v>
      </c>
      <c r="D2" s="62" t="s">
        <v>443</v>
      </c>
      <c r="E2" s="76" t="s">
        <v>444</v>
      </c>
      <c r="F2" s="89" t="s">
        <v>445</v>
      </c>
      <c r="G2" s="158"/>
    </row>
    <row r="3" spans="1:8" ht="58" hidden="1" x14ac:dyDescent="0.35">
      <c r="A3" s="76" t="s">
        <v>446</v>
      </c>
      <c r="B3" s="77" t="s">
        <v>447</v>
      </c>
      <c r="C3" s="77" t="s">
        <v>442</v>
      </c>
      <c r="D3" s="62" t="s">
        <v>448</v>
      </c>
      <c r="E3" s="76" t="s">
        <v>449</v>
      </c>
      <c r="F3" s="89" t="s">
        <v>450</v>
      </c>
    </row>
    <row r="4" spans="1:8" ht="58" hidden="1" x14ac:dyDescent="0.35">
      <c r="A4" s="76" t="s">
        <v>451</v>
      </c>
      <c r="B4" s="77" t="s">
        <v>452</v>
      </c>
      <c r="C4" s="77" t="s">
        <v>453</v>
      </c>
      <c r="D4" s="62" t="s">
        <v>454</v>
      </c>
      <c r="E4" s="76" t="s">
        <v>449</v>
      </c>
      <c r="F4" s="77" t="s">
        <v>455</v>
      </c>
    </row>
    <row r="5" spans="1:8" ht="43.5" hidden="1" x14ac:dyDescent="0.35">
      <c r="A5" s="77" t="s">
        <v>456</v>
      </c>
      <c r="B5" s="77" t="s">
        <v>457</v>
      </c>
      <c r="C5" s="77" t="s">
        <v>442</v>
      </c>
      <c r="D5" s="62" t="s">
        <v>458</v>
      </c>
      <c r="E5" s="76" t="s">
        <v>449</v>
      </c>
      <c r="F5" s="88" t="s">
        <v>459</v>
      </c>
    </row>
    <row r="6" spans="1:8" ht="58" hidden="1" x14ac:dyDescent="0.35">
      <c r="A6" s="77" t="s">
        <v>460</v>
      </c>
      <c r="B6" s="77" t="s">
        <v>461</v>
      </c>
      <c r="C6" s="77" t="s">
        <v>442</v>
      </c>
      <c r="D6" s="62" t="s">
        <v>462</v>
      </c>
      <c r="E6" s="76" t="s">
        <v>449</v>
      </c>
      <c r="F6" s="89" t="s">
        <v>463</v>
      </c>
    </row>
    <row r="7" spans="1:8" s="78" customFormat="1" ht="58" hidden="1" x14ac:dyDescent="0.35">
      <c r="A7" s="76" t="s">
        <v>464</v>
      </c>
      <c r="B7" s="77" t="s">
        <v>465</v>
      </c>
      <c r="C7" s="77" t="s">
        <v>442</v>
      </c>
      <c r="D7" s="62" t="s">
        <v>466</v>
      </c>
      <c r="E7" s="76" t="s">
        <v>449</v>
      </c>
      <c r="F7" s="89" t="s">
        <v>450</v>
      </c>
    </row>
    <row r="8" spans="1:8" s="78" customFormat="1" ht="87" hidden="1" x14ac:dyDescent="0.35">
      <c r="A8" s="151" t="s">
        <v>467</v>
      </c>
      <c r="B8" s="151" t="s">
        <v>133</v>
      </c>
      <c r="C8" s="77" t="s">
        <v>468</v>
      </c>
      <c r="D8" s="152" t="s">
        <v>469</v>
      </c>
      <c r="E8" s="89" t="s">
        <v>449</v>
      </c>
      <c r="F8" s="88" t="s">
        <v>470</v>
      </c>
    </row>
    <row r="9" spans="1:8" s="78" customFormat="1" ht="43.5" hidden="1" x14ac:dyDescent="0.35">
      <c r="A9" s="77" t="s">
        <v>471</v>
      </c>
      <c r="B9" s="77" t="s">
        <v>133</v>
      </c>
      <c r="C9" s="77" t="s">
        <v>468</v>
      </c>
      <c r="D9" s="152" t="s">
        <v>472</v>
      </c>
      <c r="E9" s="76" t="s">
        <v>449</v>
      </c>
      <c r="F9" s="88" t="s">
        <v>470</v>
      </c>
    </row>
    <row r="10" spans="1:8" ht="325" hidden="1" customHeight="1" x14ac:dyDescent="0.35">
      <c r="A10" s="77" t="s">
        <v>473</v>
      </c>
      <c r="B10" s="77" t="s">
        <v>474</v>
      </c>
      <c r="C10" s="76" t="s">
        <v>475</v>
      </c>
      <c r="D10" s="62" t="s">
        <v>476</v>
      </c>
      <c r="E10" s="76" t="s">
        <v>449</v>
      </c>
      <c r="F10" s="77" t="s">
        <v>445</v>
      </c>
    </row>
    <row r="11" spans="1:8" ht="325" hidden="1" customHeight="1" x14ac:dyDescent="0.35">
      <c r="A11" s="77" t="s">
        <v>473</v>
      </c>
      <c r="B11" s="77" t="s">
        <v>477</v>
      </c>
      <c r="C11" s="76" t="s">
        <v>475</v>
      </c>
      <c r="D11" s="62" t="s">
        <v>478</v>
      </c>
      <c r="E11" s="76" t="s">
        <v>449</v>
      </c>
      <c r="F11" s="77" t="s">
        <v>450</v>
      </c>
    </row>
    <row r="12" spans="1:8" ht="224.25" customHeight="1" x14ac:dyDescent="0.35">
      <c r="A12" s="7" t="s">
        <v>479</v>
      </c>
      <c r="B12" s="7" t="s">
        <v>480</v>
      </c>
      <c r="C12" s="8" t="s">
        <v>475</v>
      </c>
      <c r="D12" s="16" t="s">
        <v>481</v>
      </c>
      <c r="E12" s="8" t="s">
        <v>449</v>
      </c>
      <c r="F12" s="7" t="s">
        <v>482</v>
      </c>
    </row>
    <row r="13" spans="1:8" ht="102.75" customHeight="1" x14ac:dyDescent="0.35">
      <c r="A13" s="194" t="s">
        <v>483</v>
      </c>
      <c r="B13" s="156" t="s">
        <v>185</v>
      </c>
      <c r="C13" s="157" t="s">
        <v>475</v>
      </c>
      <c r="D13" s="189" t="s">
        <v>484</v>
      </c>
      <c r="E13" s="156"/>
      <c r="F13" s="7" t="s">
        <v>482</v>
      </c>
      <c r="G13" s="29"/>
      <c r="H13" s="116"/>
    </row>
    <row r="14" spans="1:8" s="36" customFormat="1" ht="29" hidden="1" x14ac:dyDescent="0.35">
      <c r="A14" s="159" t="s">
        <v>485</v>
      </c>
      <c r="B14" s="159" t="s">
        <v>486</v>
      </c>
      <c r="C14" s="159" t="s">
        <v>475</v>
      </c>
      <c r="D14" s="160" t="s">
        <v>487</v>
      </c>
      <c r="E14" s="159" t="s">
        <v>488</v>
      </c>
      <c r="F14" s="161" t="s">
        <v>489</v>
      </c>
    </row>
    <row r="15" spans="1:8" ht="109.5" customHeight="1" x14ac:dyDescent="0.35">
      <c r="A15" s="150" t="s">
        <v>490</v>
      </c>
      <c r="B15" s="150" t="s">
        <v>491</v>
      </c>
      <c r="C15" s="150" t="s">
        <v>442</v>
      </c>
      <c r="D15" s="18" t="s">
        <v>492</v>
      </c>
      <c r="E15" s="18" t="s">
        <v>493</v>
      </c>
      <c r="F15" s="154" t="s">
        <v>482</v>
      </c>
    </row>
    <row r="16" spans="1:8" s="36" customFormat="1" ht="150.65" customHeight="1" x14ac:dyDescent="0.35">
      <c r="A16" s="164" t="s">
        <v>497</v>
      </c>
      <c r="B16" s="165"/>
      <c r="C16" s="164"/>
      <c r="D16" s="166" t="s">
        <v>498</v>
      </c>
      <c r="E16" s="93" t="s">
        <v>499</v>
      </c>
      <c r="F16" s="93" t="s">
        <v>482</v>
      </c>
    </row>
    <row r="17" spans="1:6" s="36" customFormat="1" ht="72.5" x14ac:dyDescent="0.35">
      <c r="A17" s="164" t="s">
        <v>503</v>
      </c>
      <c r="B17" s="164"/>
      <c r="C17" s="164"/>
      <c r="D17" s="166" t="s">
        <v>504</v>
      </c>
      <c r="E17" s="93" t="s">
        <v>505</v>
      </c>
      <c r="F17" s="164" t="s">
        <v>482</v>
      </c>
    </row>
    <row r="18" spans="1:6" s="36" customFormat="1" ht="87" x14ac:dyDescent="0.35">
      <c r="A18" s="164" t="s">
        <v>506</v>
      </c>
      <c r="B18" s="164" t="s">
        <v>507</v>
      </c>
      <c r="C18" s="164"/>
      <c r="D18" s="166" t="s">
        <v>508</v>
      </c>
      <c r="E18" s="93" t="s">
        <v>509</v>
      </c>
      <c r="F18" s="164" t="s">
        <v>510</v>
      </c>
    </row>
    <row r="19" spans="1:6" s="36" customFormat="1" ht="72.5" x14ac:dyDescent="0.35">
      <c r="A19" s="164" t="s">
        <v>511</v>
      </c>
      <c r="B19" s="164" t="s">
        <v>512</v>
      </c>
      <c r="C19" s="164"/>
      <c r="D19" s="166" t="s">
        <v>513</v>
      </c>
      <c r="E19" s="93" t="s">
        <v>514</v>
      </c>
      <c r="F19" s="164" t="s">
        <v>510</v>
      </c>
    </row>
    <row r="20" spans="1:6" s="36" customFormat="1" ht="72.5" x14ac:dyDescent="0.35">
      <c r="A20" s="164" t="s">
        <v>515</v>
      </c>
      <c r="B20" s="164" t="s">
        <v>516</v>
      </c>
      <c r="C20" s="164"/>
      <c r="D20" s="166" t="s">
        <v>517</v>
      </c>
      <c r="E20" s="93" t="s">
        <v>518</v>
      </c>
      <c r="F20" s="164" t="s">
        <v>482</v>
      </c>
    </row>
    <row r="21" spans="1:6" s="36" customFormat="1" x14ac:dyDescent="0.35"/>
    <row r="22" spans="1:6" s="36" customFormat="1" x14ac:dyDescent="0.35"/>
    <row r="23" spans="1:6" s="36" customFormat="1" x14ac:dyDescent="0.35"/>
  </sheetData>
  <autoFilter ref="A1:G1" xr:uid="{00000000-0001-0000-0300-000000000000}"/>
  <pageMargins left="0.7" right="0.7" top="0.75" bottom="0.75" header="0.3" footer="0.3"/>
  <pageSetup paperSize="9" orientation="portrait" r:id="rId1"/>
  <headerFooter>
    <oddFooter>&amp;C&amp;1#&amp;"Calibri"&amp;10&amp;K000000OFFICIAL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619"/>
  <sheetViews>
    <sheetView showGridLines="0" zoomScale="50" zoomScaleNormal="100" workbookViewId="0">
      <pane ySplit="1" topLeftCell="A612" activePane="bottomLeft" state="frozen"/>
      <selection pane="bottomLeft" activeCell="D622" sqref="D622"/>
    </sheetView>
  </sheetViews>
  <sheetFormatPr defaultColWidth="8.7265625" defaultRowHeight="50.5" customHeight="1" x14ac:dyDescent="0.35"/>
  <cols>
    <col min="1" max="1" width="21.81640625" style="21" customWidth="1"/>
    <col min="2" max="2" width="24" style="29" customWidth="1"/>
    <col min="3" max="3" width="134.54296875" style="29" customWidth="1"/>
    <col min="4" max="4" width="46.54296875" style="29" customWidth="1"/>
    <col min="5" max="5" width="36" style="29" customWidth="1"/>
    <col min="6" max="6" width="98.54296875" style="29" customWidth="1"/>
    <col min="7" max="16384" width="8.7265625" style="116"/>
  </cols>
  <sheetData>
    <row r="1" spans="1:6" ht="50.5" customHeight="1" x14ac:dyDescent="0.35">
      <c r="A1" s="19" t="s">
        <v>608</v>
      </c>
      <c r="B1" s="26" t="s">
        <v>436</v>
      </c>
      <c r="C1" s="26" t="s">
        <v>437</v>
      </c>
      <c r="D1" s="26" t="s">
        <v>609</v>
      </c>
      <c r="E1" s="26" t="s">
        <v>524</v>
      </c>
      <c r="F1" s="26" t="s">
        <v>525</v>
      </c>
    </row>
    <row r="2" spans="1:6" ht="50.5" customHeight="1" x14ac:dyDescent="0.35">
      <c r="A2" s="20" t="s">
        <v>610</v>
      </c>
      <c r="B2" s="8" t="s">
        <v>611</v>
      </c>
      <c r="C2" s="18" t="s">
        <v>612</v>
      </c>
      <c r="D2" s="196" t="s">
        <v>613</v>
      </c>
      <c r="E2" s="61"/>
      <c r="F2" s="120"/>
    </row>
    <row r="3" spans="1:6" ht="50.5" customHeight="1" x14ac:dyDescent="0.35">
      <c r="A3" s="20" t="s">
        <v>614</v>
      </c>
      <c r="B3" s="8" t="s">
        <v>611</v>
      </c>
      <c r="C3" s="18" t="s">
        <v>615</v>
      </c>
      <c r="D3" s="18" t="s">
        <v>616</v>
      </c>
      <c r="E3" s="61"/>
      <c r="F3" s="18"/>
    </row>
    <row r="4" spans="1:6" ht="50.5" customHeight="1" x14ac:dyDescent="0.35">
      <c r="A4" s="20" t="s">
        <v>617</v>
      </c>
      <c r="B4" s="8" t="s">
        <v>611</v>
      </c>
      <c r="C4" s="18" t="s">
        <v>618</v>
      </c>
      <c r="D4" s="196" t="s">
        <v>619</v>
      </c>
      <c r="E4" s="196"/>
      <c r="F4" s="120"/>
    </row>
    <row r="5" spans="1:6" ht="50.5" customHeight="1" x14ac:dyDescent="0.35">
      <c r="A5" s="20" t="s">
        <v>620</v>
      </c>
      <c r="B5" s="8" t="s">
        <v>611</v>
      </c>
      <c r="C5" s="18" t="s">
        <v>621</v>
      </c>
      <c r="D5" s="196" t="s">
        <v>613</v>
      </c>
      <c r="E5" s="61"/>
      <c r="F5" s="120"/>
    </row>
    <row r="6" spans="1:6" ht="50.5" customHeight="1" x14ac:dyDescent="0.35">
      <c r="A6" s="20" t="s">
        <v>622</v>
      </c>
      <c r="B6" s="8" t="s">
        <v>611</v>
      </c>
      <c r="C6" s="18" t="s">
        <v>623</v>
      </c>
      <c r="D6" s="196" t="s">
        <v>624</v>
      </c>
      <c r="E6" s="61"/>
      <c r="F6" s="8"/>
    </row>
    <row r="7" spans="1:6" ht="50.5" customHeight="1" x14ac:dyDescent="0.35">
      <c r="A7" s="20" t="s">
        <v>625</v>
      </c>
      <c r="B7" s="8" t="s">
        <v>611</v>
      </c>
      <c r="C7" s="18" t="s">
        <v>626</v>
      </c>
      <c r="D7" s="18" t="s">
        <v>627</v>
      </c>
      <c r="E7" s="61"/>
      <c r="F7" s="8"/>
    </row>
    <row r="8" spans="1:6" ht="50.5" customHeight="1" x14ac:dyDescent="0.35">
      <c r="A8" s="20" t="s">
        <v>628</v>
      </c>
      <c r="B8" s="8" t="s">
        <v>530</v>
      </c>
      <c r="C8" s="18" t="s">
        <v>629</v>
      </c>
      <c r="D8" s="18" t="s">
        <v>630</v>
      </c>
      <c r="E8" s="61"/>
      <c r="F8" s="8"/>
    </row>
    <row r="9" spans="1:6" ht="50.5" customHeight="1" x14ac:dyDescent="0.35">
      <c r="A9" s="20" t="s">
        <v>16</v>
      </c>
      <c r="B9" s="8" t="s">
        <v>530</v>
      </c>
      <c r="C9" s="18" t="s">
        <v>631</v>
      </c>
      <c r="D9" s="8" t="s">
        <v>632</v>
      </c>
      <c r="E9" s="61"/>
      <c r="F9" s="8"/>
    </row>
    <row r="10" spans="1:6" ht="50.5" customHeight="1" x14ac:dyDescent="0.35">
      <c r="A10" s="20" t="s">
        <v>633</v>
      </c>
      <c r="B10" s="8" t="s">
        <v>530</v>
      </c>
      <c r="C10" s="18" t="s">
        <v>634</v>
      </c>
      <c r="D10" s="196" t="s">
        <v>613</v>
      </c>
      <c r="E10" s="196"/>
      <c r="F10" s="120"/>
    </row>
    <row r="11" spans="1:6" ht="50.5" customHeight="1" x14ac:dyDescent="0.35">
      <c r="A11" s="20" t="s">
        <v>635</v>
      </c>
      <c r="B11" s="8" t="s">
        <v>530</v>
      </c>
      <c r="C11" s="18" t="s">
        <v>636</v>
      </c>
      <c r="D11" s="196" t="s">
        <v>613</v>
      </c>
      <c r="E11" s="196"/>
      <c r="F11" s="120"/>
    </row>
    <row r="12" spans="1:6" ht="50.5" customHeight="1" x14ac:dyDescent="0.35">
      <c r="A12" s="20" t="s">
        <v>637</v>
      </c>
      <c r="B12" s="8" t="s">
        <v>638</v>
      </c>
      <c r="C12" s="18" t="s">
        <v>639</v>
      </c>
      <c r="D12" s="18" t="s">
        <v>613</v>
      </c>
      <c r="E12" s="61"/>
      <c r="F12" s="120"/>
    </row>
    <row r="13" spans="1:6" ht="50.5" customHeight="1" x14ac:dyDescent="0.35">
      <c r="A13" s="20" t="s">
        <v>640</v>
      </c>
      <c r="B13" s="8" t="s">
        <v>638</v>
      </c>
      <c r="C13" s="18" t="s">
        <v>641</v>
      </c>
      <c r="D13" s="196" t="s">
        <v>613</v>
      </c>
      <c r="E13" s="206" t="s">
        <v>533</v>
      </c>
      <c r="F13" s="120"/>
    </row>
    <row r="14" spans="1:6" ht="50.5" customHeight="1" x14ac:dyDescent="0.35">
      <c r="A14" s="20" t="s">
        <v>642</v>
      </c>
      <c r="B14" s="8" t="s">
        <v>580</v>
      </c>
      <c r="C14" s="18" t="s">
        <v>643</v>
      </c>
      <c r="D14" s="18" t="s">
        <v>627</v>
      </c>
      <c r="E14" s="61"/>
      <c r="F14" s="8"/>
    </row>
    <row r="15" spans="1:6" ht="50.5" customHeight="1" x14ac:dyDescent="0.35">
      <c r="A15" s="20" t="s">
        <v>644</v>
      </c>
      <c r="B15" s="8" t="s">
        <v>645</v>
      </c>
      <c r="C15" s="18" t="s">
        <v>646</v>
      </c>
      <c r="D15" s="18" t="s">
        <v>627</v>
      </c>
      <c r="E15" s="61"/>
      <c r="F15" s="8"/>
    </row>
    <row r="16" spans="1:6" ht="50.5" customHeight="1" x14ac:dyDescent="0.35">
      <c r="A16" s="20" t="s">
        <v>647</v>
      </c>
      <c r="B16" s="8" t="s">
        <v>580</v>
      </c>
      <c r="C16" s="18" t="s">
        <v>648</v>
      </c>
      <c r="D16" s="18" t="s">
        <v>627</v>
      </c>
      <c r="E16" s="61"/>
      <c r="F16" s="8"/>
    </row>
    <row r="17" spans="1:6" ht="50.5" customHeight="1" x14ac:dyDescent="0.35">
      <c r="A17" s="20" t="s">
        <v>649</v>
      </c>
      <c r="B17" s="8" t="s">
        <v>580</v>
      </c>
      <c r="C17" s="18" t="s">
        <v>650</v>
      </c>
      <c r="D17" s="196" t="s">
        <v>627</v>
      </c>
      <c r="E17" s="196"/>
      <c r="F17" s="8"/>
    </row>
    <row r="18" spans="1:6" ht="50.5" customHeight="1" x14ac:dyDescent="0.35">
      <c r="A18" s="20" t="s">
        <v>651</v>
      </c>
      <c r="B18" s="8" t="s">
        <v>580</v>
      </c>
      <c r="C18" s="8" t="s">
        <v>652</v>
      </c>
      <c r="D18" s="18" t="s">
        <v>627</v>
      </c>
      <c r="E18" s="61"/>
      <c r="F18" s="8" t="s">
        <v>653</v>
      </c>
    </row>
    <row r="19" spans="1:6" ht="50.5" customHeight="1" x14ac:dyDescent="0.35">
      <c r="A19" s="20" t="s">
        <v>654</v>
      </c>
      <c r="B19" s="8" t="s">
        <v>572</v>
      </c>
      <c r="C19" s="8" t="s">
        <v>655</v>
      </c>
      <c r="D19" s="18" t="s">
        <v>632</v>
      </c>
      <c r="E19" s="61"/>
      <c r="F19" s="8"/>
    </row>
    <row r="20" spans="1:6" ht="50.5" customHeight="1" x14ac:dyDescent="0.35">
      <c r="A20" s="20" t="s">
        <v>656</v>
      </c>
      <c r="B20" s="8" t="s">
        <v>572</v>
      </c>
      <c r="C20" s="8" t="s">
        <v>657</v>
      </c>
      <c r="D20" s="196" t="s">
        <v>658</v>
      </c>
      <c r="E20" s="196"/>
      <c r="F20" s="8"/>
    </row>
    <row r="21" spans="1:6" ht="50.5" customHeight="1" x14ac:dyDescent="0.35">
      <c r="A21" s="20" t="s">
        <v>659</v>
      </c>
      <c r="B21" s="8" t="s">
        <v>572</v>
      </c>
      <c r="C21" s="18" t="s">
        <v>660</v>
      </c>
      <c r="D21" s="18" t="s">
        <v>630</v>
      </c>
      <c r="E21" s="61"/>
      <c r="F21" s="8"/>
    </row>
    <row r="22" spans="1:6" ht="50.5" customHeight="1" x14ac:dyDescent="0.35">
      <c r="A22" s="20" t="s">
        <v>661</v>
      </c>
      <c r="B22" s="8" t="s">
        <v>475</v>
      </c>
      <c r="C22" s="8" t="s">
        <v>662</v>
      </c>
      <c r="D22" s="8" t="s">
        <v>632</v>
      </c>
      <c r="E22" s="61"/>
      <c r="F22" s="8" t="s">
        <v>663</v>
      </c>
    </row>
    <row r="23" spans="1:6" ht="50.5" customHeight="1" x14ac:dyDescent="0.35">
      <c r="A23" s="20" t="s">
        <v>664</v>
      </c>
      <c r="B23" s="8" t="s">
        <v>475</v>
      </c>
      <c r="C23" s="18" t="s">
        <v>665</v>
      </c>
      <c r="D23" s="18" t="s">
        <v>632</v>
      </c>
      <c r="E23" s="61"/>
      <c r="F23" s="8"/>
    </row>
    <row r="24" spans="1:6" ht="50.5" customHeight="1" x14ac:dyDescent="0.35">
      <c r="A24" s="20" t="s">
        <v>666</v>
      </c>
      <c r="B24" s="8" t="s">
        <v>475</v>
      </c>
      <c r="C24" s="8" t="s">
        <v>667</v>
      </c>
      <c r="D24" s="196" t="s">
        <v>658</v>
      </c>
      <c r="E24" s="196"/>
      <c r="F24" s="8"/>
    </row>
    <row r="25" spans="1:6" ht="50.5" customHeight="1" x14ac:dyDescent="0.35">
      <c r="A25" s="20" t="s">
        <v>668</v>
      </c>
      <c r="B25" s="8" t="s">
        <v>475</v>
      </c>
      <c r="C25" s="18" t="s">
        <v>669</v>
      </c>
      <c r="D25" s="196" t="s">
        <v>624</v>
      </c>
      <c r="E25" s="196"/>
      <c r="F25" s="8"/>
    </row>
    <row r="26" spans="1:6" ht="50.5" customHeight="1" x14ac:dyDescent="0.35">
      <c r="A26" s="20" t="s">
        <v>670</v>
      </c>
      <c r="B26" s="8" t="s">
        <v>475</v>
      </c>
      <c r="C26" s="8" t="s">
        <v>671</v>
      </c>
      <c r="D26" s="18" t="s">
        <v>658</v>
      </c>
      <c r="E26" s="61"/>
      <c r="F26" s="8"/>
    </row>
    <row r="27" spans="1:6" ht="50.5" customHeight="1" x14ac:dyDescent="0.35">
      <c r="A27" s="20" t="s">
        <v>672</v>
      </c>
      <c r="B27" s="8" t="s">
        <v>475</v>
      </c>
      <c r="C27" s="18" t="s">
        <v>673</v>
      </c>
      <c r="D27" s="8" t="s">
        <v>674</v>
      </c>
      <c r="E27" s="18"/>
      <c r="F27" s="8" t="s">
        <v>675</v>
      </c>
    </row>
    <row r="28" spans="1:6" ht="50.5" customHeight="1" x14ac:dyDescent="0.35">
      <c r="A28" s="20" t="s">
        <v>676</v>
      </c>
      <c r="B28" s="8" t="s">
        <v>475</v>
      </c>
      <c r="C28" s="8" t="s">
        <v>677</v>
      </c>
      <c r="D28" s="196" t="s">
        <v>632</v>
      </c>
      <c r="E28" s="196"/>
      <c r="F28" s="8" t="s">
        <v>678</v>
      </c>
    </row>
    <row r="29" spans="1:6" ht="50.5" customHeight="1" x14ac:dyDescent="0.35">
      <c r="A29" s="20" t="s">
        <v>679</v>
      </c>
      <c r="B29" s="8" t="s">
        <v>535</v>
      </c>
      <c r="C29" s="18" t="s">
        <v>680</v>
      </c>
      <c r="D29" s="196" t="s">
        <v>681</v>
      </c>
      <c r="E29" s="196"/>
      <c r="F29" s="120"/>
    </row>
    <row r="30" spans="1:6" ht="50.5" customHeight="1" x14ac:dyDescent="0.35">
      <c r="A30" s="20" t="s">
        <v>682</v>
      </c>
      <c r="B30" s="8" t="s">
        <v>535</v>
      </c>
      <c r="C30" s="18" t="s">
        <v>683</v>
      </c>
      <c r="D30" s="196" t="s">
        <v>613</v>
      </c>
      <c r="E30" s="196"/>
      <c r="F30" s="120"/>
    </row>
    <row r="31" spans="1:6" ht="50.5" customHeight="1" x14ac:dyDescent="0.35">
      <c r="A31" s="20" t="s">
        <v>684</v>
      </c>
      <c r="B31" s="8" t="s">
        <v>535</v>
      </c>
      <c r="C31" s="18" t="s">
        <v>685</v>
      </c>
      <c r="D31" s="18" t="s">
        <v>613</v>
      </c>
      <c r="E31" s="61"/>
      <c r="F31" s="120"/>
    </row>
    <row r="32" spans="1:6" ht="50.5" customHeight="1" x14ac:dyDescent="0.35">
      <c r="A32" s="20" t="s">
        <v>686</v>
      </c>
      <c r="B32" s="8" t="s">
        <v>535</v>
      </c>
      <c r="C32" s="18" t="s">
        <v>687</v>
      </c>
      <c r="D32" s="196" t="s">
        <v>688</v>
      </c>
      <c r="E32" s="196" t="s">
        <v>533</v>
      </c>
      <c r="F32" s="120"/>
    </row>
    <row r="33" spans="1:6" ht="50.5" customHeight="1" x14ac:dyDescent="0.35">
      <c r="A33" s="20" t="s">
        <v>689</v>
      </c>
      <c r="B33" s="8" t="s">
        <v>561</v>
      </c>
      <c r="C33" s="18" t="s">
        <v>690</v>
      </c>
      <c r="D33" s="196" t="s">
        <v>630</v>
      </c>
      <c r="E33" s="196"/>
      <c r="F33" s="8"/>
    </row>
    <row r="34" spans="1:6" ht="50.5" customHeight="1" x14ac:dyDescent="0.35">
      <c r="A34" s="20" t="s">
        <v>691</v>
      </c>
      <c r="B34" s="8" t="s">
        <v>692</v>
      </c>
      <c r="C34" s="18" t="s">
        <v>693</v>
      </c>
      <c r="D34" s="196" t="s">
        <v>694</v>
      </c>
      <c r="E34" s="196"/>
      <c r="F34" s="120"/>
    </row>
    <row r="35" spans="1:6" ht="50.5" customHeight="1" x14ac:dyDescent="0.35">
      <c r="A35" s="20" t="s">
        <v>695</v>
      </c>
      <c r="B35" s="8" t="s">
        <v>638</v>
      </c>
      <c r="C35" s="18" t="s">
        <v>696</v>
      </c>
      <c r="D35" s="196" t="s">
        <v>697</v>
      </c>
      <c r="E35" s="196"/>
      <c r="F35" s="8"/>
    </row>
    <row r="36" spans="1:6" ht="50.5" customHeight="1" x14ac:dyDescent="0.35">
      <c r="A36" s="20" t="s">
        <v>698</v>
      </c>
      <c r="B36" s="8" t="s">
        <v>692</v>
      </c>
      <c r="C36" s="8" t="s">
        <v>699</v>
      </c>
      <c r="D36" s="196" t="s">
        <v>624</v>
      </c>
      <c r="E36" s="196"/>
      <c r="F36" s="8"/>
    </row>
    <row r="37" spans="1:6" ht="50.5" customHeight="1" x14ac:dyDescent="0.35">
      <c r="A37" s="20" t="s">
        <v>700</v>
      </c>
      <c r="B37" s="8" t="s">
        <v>580</v>
      </c>
      <c r="C37" s="8" t="s">
        <v>701</v>
      </c>
      <c r="D37" s="18" t="s">
        <v>627</v>
      </c>
      <c r="E37" s="61"/>
      <c r="F37" s="8"/>
    </row>
    <row r="38" spans="1:6" ht="50.5" customHeight="1" x14ac:dyDescent="0.35">
      <c r="A38" s="20" t="s">
        <v>702</v>
      </c>
      <c r="B38" s="8" t="s">
        <v>561</v>
      </c>
      <c r="C38" s="8" t="s">
        <v>703</v>
      </c>
      <c r="D38" s="18" t="s">
        <v>619</v>
      </c>
      <c r="E38" s="61"/>
      <c r="F38" s="8"/>
    </row>
    <row r="39" spans="1:6" ht="50.5" customHeight="1" x14ac:dyDescent="0.35">
      <c r="A39" s="20" t="s">
        <v>704</v>
      </c>
      <c r="B39" s="8" t="s">
        <v>561</v>
      </c>
      <c r="C39" s="8" t="s">
        <v>705</v>
      </c>
      <c r="D39" s="196" t="s">
        <v>624</v>
      </c>
      <c r="E39" s="196"/>
      <c r="F39" s="8"/>
    </row>
    <row r="40" spans="1:6" ht="50.5" customHeight="1" x14ac:dyDescent="0.35">
      <c r="A40" s="20" t="s">
        <v>706</v>
      </c>
      <c r="B40" s="8" t="s">
        <v>561</v>
      </c>
      <c r="C40" s="8" t="s">
        <v>707</v>
      </c>
      <c r="D40" s="18" t="s">
        <v>627</v>
      </c>
      <c r="E40" s="61"/>
      <c r="F40" s="8"/>
    </row>
    <row r="41" spans="1:6" ht="50.5" customHeight="1" x14ac:dyDescent="0.35">
      <c r="A41" s="20" t="s">
        <v>708</v>
      </c>
      <c r="B41" s="8" t="s">
        <v>580</v>
      </c>
      <c r="C41" s="8" t="s">
        <v>709</v>
      </c>
      <c r="D41" s="18" t="s">
        <v>624</v>
      </c>
      <c r="E41" s="61"/>
      <c r="F41" s="8"/>
    </row>
    <row r="42" spans="1:6" ht="50.5" customHeight="1" x14ac:dyDescent="0.35">
      <c r="A42" s="20" t="s">
        <v>710</v>
      </c>
      <c r="B42" s="8" t="s">
        <v>692</v>
      </c>
      <c r="C42" s="8" t="s">
        <v>711</v>
      </c>
      <c r="D42" s="18" t="s">
        <v>630</v>
      </c>
      <c r="E42" s="61"/>
      <c r="F42" s="8"/>
    </row>
    <row r="43" spans="1:6" ht="50.5" customHeight="1" x14ac:dyDescent="0.35">
      <c r="A43" s="20" t="s">
        <v>712</v>
      </c>
      <c r="B43" s="8" t="s">
        <v>561</v>
      </c>
      <c r="C43" s="8" t="s">
        <v>713</v>
      </c>
      <c r="D43" s="196" t="s">
        <v>714</v>
      </c>
      <c r="E43" s="196"/>
      <c r="F43" s="8"/>
    </row>
    <row r="44" spans="1:6" ht="50.5" customHeight="1" x14ac:dyDescent="0.35">
      <c r="A44" s="20" t="s">
        <v>715</v>
      </c>
      <c r="B44" s="8" t="s">
        <v>561</v>
      </c>
      <c r="C44" s="8" t="s">
        <v>716</v>
      </c>
      <c r="D44" s="18" t="s">
        <v>717</v>
      </c>
      <c r="E44" s="20" t="s">
        <v>533</v>
      </c>
      <c r="F44" s="8"/>
    </row>
    <row r="45" spans="1:6" ht="50.5" customHeight="1" x14ac:dyDescent="0.35">
      <c r="A45" s="20" t="s">
        <v>718</v>
      </c>
      <c r="B45" s="8" t="s">
        <v>561</v>
      </c>
      <c r="C45" s="8" t="s">
        <v>719</v>
      </c>
      <c r="D45" s="196" t="s">
        <v>613</v>
      </c>
      <c r="E45" s="196"/>
      <c r="F45" s="8"/>
    </row>
    <row r="46" spans="1:6" ht="50.5" customHeight="1" x14ac:dyDescent="0.35">
      <c r="A46" s="20" t="s">
        <v>720</v>
      </c>
      <c r="B46" s="8" t="s">
        <v>535</v>
      </c>
      <c r="C46" s="8" t="s">
        <v>721</v>
      </c>
      <c r="D46" s="18" t="s">
        <v>613</v>
      </c>
      <c r="E46" s="8"/>
      <c r="F46" s="8"/>
    </row>
    <row r="47" spans="1:6" ht="50.5" customHeight="1" x14ac:dyDescent="0.35">
      <c r="A47" s="20" t="s">
        <v>722</v>
      </c>
      <c r="B47" s="8" t="s">
        <v>535</v>
      </c>
      <c r="C47" s="8" t="s">
        <v>723</v>
      </c>
      <c r="D47" s="18" t="s">
        <v>613</v>
      </c>
      <c r="E47" s="20" t="s">
        <v>533</v>
      </c>
      <c r="F47" s="8"/>
    </row>
    <row r="48" spans="1:6" ht="50.5" customHeight="1" x14ac:dyDescent="0.35">
      <c r="A48" s="20" t="s">
        <v>724</v>
      </c>
      <c r="B48" s="8" t="s">
        <v>475</v>
      </c>
      <c r="C48" s="8" t="s">
        <v>725</v>
      </c>
      <c r="D48" s="18" t="s">
        <v>616</v>
      </c>
      <c r="E48" s="61"/>
      <c r="F48" s="120"/>
    </row>
    <row r="49" spans="1:6" ht="50.5" customHeight="1" x14ac:dyDescent="0.35">
      <c r="A49" s="20" t="s">
        <v>726</v>
      </c>
      <c r="B49" s="8" t="s">
        <v>535</v>
      </c>
      <c r="C49" s="8" t="s">
        <v>727</v>
      </c>
      <c r="D49" s="8" t="s">
        <v>627</v>
      </c>
      <c r="E49" s="61"/>
      <c r="F49" s="8"/>
    </row>
    <row r="50" spans="1:6" ht="50.5" customHeight="1" x14ac:dyDescent="0.35">
      <c r="A50" s="20" t="s">
        <v>728</v>
      </c>
      <c r="B50" s="8" t="s">
        <v>580</v>
      </c>
      <c r="C50" s="8" t="s">
        <v>729</v>
      </c>
      <c r="D50" s="18" t="s">
        <v>627</v>
      </c>
      <c r="E50" s="61"/>
      <c r="F50" s="8"/>
    </row>
    <row r="51" spans="1:6" ht="50.5" customHeight="1" x14ac:dyDescent="0.35">
      <c r="A51" s="20" t="s">
        <v>730</v>
      </c>
      <c r="B51" s="8" t="s">
        <v>543</v>
      </c>
      <c r="C51" s="8" t="s">
        <v>731</v>
      </c>
      <c r="D51" s="18" t="s">
        <v>732</v>
      </c>
      <c r="E51" s="20" t="s">
        <v>533</v>
      </c>
      <c r="F51" s="8"/>
    </row>
    <row r="52" spans="1:6" ht="50.5" customHeight="1" x14ac:dyDescent="0.35">
      <c r="A52" s="20" t="s">
        <v>733</v>
      </c>
      <c r="B52" s="8" t="s">
        <v>530</v>
      </c>
      <c r="C52" s="18" t="s">
        <v>734</v>
      </c>
      <c r="D52" s="18" t="s">
        <v>613</v>
      </c>
      <c r="E52" s="61"/>
      <c r="F52" s="120"/>
    </row>
    <row r="53" spans="1:6" ht="50.5" customHeight="1" x14ac:dyDescent="0.35">
      <c r="A53" s="20" t="s">
        <v>735</v>
      </c>
      <c r="B53" s="8" t="s">
        <v>495</v>
      </c>
      <c r="C53" s="8" t="s">
        <v>736</v>
      </c>
      <c r="D53" s="18" t="s">
        <v>619</v>
      </c>
      <c r="E53" s="61"/>
      <c r="F53" s="120"/>
    </row>
    <row r="54" spans="1:6" ht="50.5" customHeight="1" x14ac:dyDescent="0.35">
      <c r="A54" s="20" t="s">
        <v>737</v>
      </c>
      <c r="B54" s="8" t="s">
        <v>495</v>
      </c>
      <c r="C54" s="18" t="s">
        <v>738</v>
      </c>
      <c r="D54" s="18" t="s">
        <v>613</v>
      </c>
      <c r="E54" s="61"/>
      <c r="F54" s="120"/>
    </row>
    <row r="55" spans="1:6" ht="50.5" customHeight="1" x14ac:dyDescent="0.35">
      <c r="A55" s="20" t="s">
        <v>739</v>
      </c>
      <c r="B55" s="8" t="s">
        <v>495</v>
      </c>
      <c r="C55" s="8" t="s">
        <v>740</v>
      </c>
      <c r="D55" s="18" t="s">
        <v>688</v>
      </c>
      <c r="E55" s="61"/>
      <c r="F55" s="8"/>
    </row>
    <row r="56" spans="1:6" ht="50.5" customHeight="1" x14ac:dyDescent="0.35">
      <c r="A56" s="20" t="s">
        <v>741</v>
      </c>
      <c r="B56" s="8" t="s">
        <v>495</v>
      </c>
      <c r="C56" s="8" t="s">
        <v>742</v>
      </c>
      <c r="D56" s="8" t="s">
        <v>674</v>
      </c>
      <c r="E56" s="61"/>
      <c r="F56" s="8"/>
    </row>
    <row r="57" spans="1:6" ht="50.5" customHeight="1" x14ac:dyDescent="0.35">
      <c r="A57" s="20" t="s">
        <v>743</v>
      </c>
      <c r="B57" s="8" t="s">
        <v>495</v>
      </c>
      <c r="C57" s="18" t="s">
        <v>744</v>
      </c>
      <c r="D57" s="18" t="s">
        <v>732</v>
      </c>
      <c r="E57" s="61"/>
      <c r="F57" s="120"/>
    </row>
    <row r="58" spans="1:6" ht="50.5" customHeight="1" x14ac:dyDescent="0.35">
      <c r="A58" s="20" t="s">
        <v>745</v>
      </c>
      <c r="B58" s="8" t="s">
        <v>495</v>
      </c>
      <c r="C58" s="18" t="s">
        <v>746</v>
      </c>
      <c r="D58" s="18" t="s">
        <v>613</v>
      </c>
      <c r="E58" s="61"/>
      <c r="F58" s="120"/>
    </row>
    <row r="59" spans="1:6" ht="50.5" customHeight="1" x14ac:dyDescent="0.35">
      <c r="A59" s="20" t="s">
        <v>747</v>
      </c>
      <c r="B59" s="8" t="s">
        <v>580</v>
      </c>
      <c r="C59" s="18" t="s">
        <v>748</v>
      </c>
      <c r="D59" s="18" t="s">
        <v>613</v>
      </c>
      <c r="E59" s="61"/>
      <c r="F59" s="120"/>
    </row>
    <row r="60" spans="1:6" ht="50.5" customHeight="1" x14ac:dyDescent="0.35">
      <c r="A60" s="20" t="s">
        <v>749</v>
      </c>
      <c r="B60" s="8" t="s">
        <v>580</v>
      </c>
      <c r="C60" s="8" t="s">
        <v>750</v>
      </c>
      <c r="D60" s="18" t="s">
        <v>619</v>
      </c>
      <c r="E60" s="61"/>
      <c r="F60" s="120"/>
    </row>
    <row r="61" spans="1:6" ht="50.5" customHeight="1" x14ac:dyDescent="0.35">
      <c r="A61" s="20" t="s">
        <v>751</v>
      </c>
      <c r="B61" s="8" t="s">
        <v>580</v>
      </c>
      <c r="C61" s="8" t="s">
        <v>752</v>
      </c>
      <c r="D61" s="18" t="s">
        <v>619</v>
      </c>
      <c r="E61" s="61"/>
      <c r="F61" s="120"/>
    </row>
    <row r="62" spans="1:6" ht="50.5" customHeight="1" x14ac:dyDescent="0.35">
      <c r="A62" s="20" t="s">
        <v>753</v>
      </c>
      <c r="B62" s="8" t="s">
        <v>580</v>
      </c>
      <c r="C62" s="18" t="s">
        <v>754</v>
      </c>
      <c r="D62" s="18" t="s">
        <v>613</v>
      </c>
      <c r="E62" s="20" t="s">
        <v>533</v>
      </c>
      <c r="F62" s="120"/>
    </row>
    <row r="63" spans="1:6" ht="50.5" customHeight="1" x14ac:dyDescent="0.35">
      <c r="A63" s="20" t="s">
        <v>755</v>
      </c>
      <c r="B63" s="8" t="s">
        <v>475</v>
      </c>
      <c r="C63" s="18" t="s">
        <v>756</v>
      </c>
      <c r="D63" s="18" t="s">
        <v>757</v>
      </c>
      <c r="E63" s="61"/>
      <c r="F63" s="120"/>
    </row>
    <row r="64" spans="1:6" ht="50.5" customHeight="1" x14ac:dyDescent="0.35">
      <c r="A64" s="20" t="s">
        <v>758</v>
      </c>
      <c r="B64" s="8" t="s">
        <v>475</v>
      </c>
      <c r="C64" s="18" t="s">
        <v>759</v>
      </c>
      <c r="D64" s="18" t="s">
        <v>757</v>
      </c>
      <c r="E64" s="61"/>
      <c r="F64" s="120"/>
    </row>
    <row r="65" spans="1:6" ht="50.5" customHeight="1" x14ac:dyDescent="0.35">
      <c r="A65" s="20" t="s">
        <v>760</v>
      </c>
      <c r="B65" s="8" t="s">
        <v>475</v>
      </c>
      <c r="C65" s="18" t="s">
        <v>761</v>
      </c>
      <c r="D65" s="196" t="s">
        <v>757</v>
      </c>
      <c r="E65" s="196"/>
      <c r="F65" s="120"/>
    </row>
    <row r="66" spans="1:6" ht="50.5" customHeight="1" x14ac:dyDescent="0.35">
      <c r="A66" s="20" t="s">
        <v>762</v>
      </c>
      <c r="B66" s="8" t="s">
        <v>475</v>
      </c>
      <c r="C66" s="18" t="s">
        <v>763</v>
      </c>
      <c r="D66" s="18" t="s">
        <v>613</v>
      </c>
      <c r="E66" s="61"/>
      <c r="F66" s="120"/>
    </row>
    <row r="67" spans="1:6" ht="50.5" customHeight="1" x14ac:dyDescent="0.35">
      <c r="A67" s="20" t="s">
        <v>764</v>
      </c>
      <c r="B67" s="8" t="s">
        <v>475</v>
      </c>
      <c r="C67" s="18" t="s">
        <v>765</v>
      </c>
      <c r="D67" s="18" t="s">
        <v>732</v>
      </c>
      <c r="E67" s="20" t="s">
        <v>533</v>
      </c>
      <c r="F67" s="120"/>
    </row>
    <row r="68" spans="1:6" ht="50.5" customHeight="1" x14ac:dyDescent="0.35">
      <c r="A68" s="20" t="s">
        <v>766</v>
      </c>
      <c r="B68" s="8" t="s">
        <v>475</v>
      </c>
      <c r="C68" s="18" t="s">
        <v>767</v>
      </c>
      <c r="D68" s="196" t="s">
        <v>613</v>
      </c>
      <c r="E68" s="196"/>
      <c r="F68" s="120"/>
    </row>
    <row r="69" spans="1:6" ht="50.5" customHeight="1" x14ac:dyDescent="0.35">
      <c r="A69" s="20" t="s">
        <v>768</v>
      </c>
      <c r="B69" s="8" t="s">
        <v>535</v>
      </c>
      <c r="C69" s="18" t="s">
        <v>769</v>
      </c>
      <c r="D69" s="18" t="s">
        <v>732</v>
      </c>
      <c r="E69" s="20" t="s">
        <v>533</v>
      </c>
      <c r="F69" s="120"/>
    </row>
    <row r="70" spans="1:6" ht="50.5" customHeight="1" x14ac:dyDescent="0.35">
      <c r="A70" s="20" t="s">
        <v>770</v>
      </c>
      <c r="B70" s="8" t="s">
        <v>535</v>
      </c>
      <c r="C70" s="8" t="s">
        <v>771</v>
      </c>
      <c r="D70" s="18" t="s">
        <v>619</v>
      </c>
      <c r="E70" s="61"/>
      <c r="F70" s="120"/>
    </row>
    <row r="71" spans="1:6" ht="50.5" customHeight="1" x14ac:dyDescent="0.35">
      <c r="A71" s="20" t="s">
        <v>772</v>
      </c>
      <c r="B71" s="8" t="s">
        <v>535</v>
      </c>
      <c r="C71" s="18" t="s">
        <v>773</v>
      </c>
      <c r="D71" s="18" t="s">
        <v>732</v>
      </c>
      <c r="E71" s="20" t="s">
        <v>533</v>
      </c>
      <c r="F71" s="120"/>
    </row>
    <row r="72" spans="1:6" ht="50.5" customHeight="1" x14ac:dyDescent="0.35">
      <c r="A72" s="20" t="s">
        <v>774</v>
      </c>
      <c r="B72" s="8" t="s">
        <v>561</v>
      </c>
      <c r="C72" s="18" t="s">
        <v>775</v>
      </c>
      <c r="D72" s="18" t="s">
        <v>732</v>
      </c>
      <c r="E72" s="61"/>
      <c r="F72" s="120"/>
    </row>
    <row r="73" spans="1:6" ht="50.5" customHeight="1" x14ac:dyDescent="0.35">
      <c r="A73" s="20" t="s">
        <v>776</v>
      </c>
      <c r="B73" s="8" t="s">
        <v>561</v>
      </c>
      <c r="C73" s="18" t="s">
        <v>777</v>
      </c>
      <c r="D73" s="18" t="s">
        <v>732</v>
      </c>
      <c r="E73" s="61"/>
      <c r="F73" s="120"/>
    </row>
    <row r="74" spans="1:6" ht="50.5" customHeight="1" x14ac:dyDescent="0.35">
      <c r="A74" s="20" t="s">
        <v>778</v>
      </c>
      <c r="B74" s="8" t="s">
        <v>561</v>
      </c>
      <c r="C74" s="18" t="s">
        <v>779</v>
      </c>
      <c r="D74" s="18" t="s">
        <v>732</v>
      </c>
      <c r="E74" s="61"/>
      <c r="F74" s="120"/>
    </row>
    <row r="75" spans="1:6" ht="50.5" customHeight="1" x14ac:dyDescent="0.35">
      <c r="A75" s="50" t="s">
        <v>780</v>
      </c>
      <c r="B75" s="50" t="s">
        <v>561</v>
      </c>
      <c r="C75" s="18" t="s">
        <v>781</v>
      </c>
      <c r="D75" s="18" t="s">
        <v>782</v>
      </c>
      <c r="E75" s="61"/>
      <c r="F75" s="121"/>
    </row>
    <row r="76" spans="1:6" ht="50.5" customHeight="1" x14ac:dyDescent="0.35">
      <c r="A76" s="20" t="s">
        <v>783</v>
      </c>
      <c r="B76" s="8" t="s">
        <v>572</v>
      </c>
      <c r="C76" s="18" t="s">
        <v>784</v>
      </c>
      <c r="D76" s="18" t="s">
        <v>681</v>
      </c>
      <c r="E76" s="20" t="s">
        <v>533</v>
      </c>
      <c r="F76" s="120"/>
    </row>
    <row r="77" spans="1:6" ht="50.5" customHeight="1" x14ac:dyDescent="0.35">
      <c r="A77" s="50" t="s">
        <v>785</v>
      </c>
      <c r="B77" s="50" t="s">
        <v>561</v>
      </c>
      <c r="C77" s="18" t="s">
        <v>786</v>
      </c>
      <c r="D77" s="18" t="s">
        <v>757</v>
      </c>
      <c r="E77" s="61"/>
      <c r="F77" s="121"/>
    </row>
    <row r="78" spans="1:6" ht="50.5" customHeight="1" x14ac:dyDescent="0.35">
      <c r="A78" s="20" t="s">
        <v>787</v>
      </c>
      <c r="B78" s="8" t="s">
        <v>475</v>
      </c>
      <c r="C78" s="124" t="s">
        <v>788</v>
      </c>
      <c r="D78" s="18" t="s">
        <v>789</v>
      </c>
      <c r="E78" s="61"/>
      <c r="F78" s="120"/>
    </row>
    <row r="79" spans="1:6" ht="50.5" customHeight="1" x14ac:dyDescent="0.35">
      <c r="A79" s="20" t="s">
        <v>790</v>
      </c>
      <c r="B79" s="8" t="s">
        <v>561</v>
      </c>
      <c r="C79" s="124" t="s">
        <v>791</v>
      </c>
      <c r="D79" s="18" t="s">
        <v>619</v>
      </c>
      <c r="E79" s="61"/>
      <c r="F79" s="120"/>
    </row>
    <row r="80" spans="1:6" ht="50.5" customHeight="1" x14ac:dyDescent="0.35">
      <c r="A80" s="20" t="s">
        <v>792</v>
      </c>
      <c r="B80" s="8" t="s">
        <v>561</v>
      </c>
      <c r="C80" s="18" t="s">
        <v>793</v>
      </c>
      <c r="D80" s="18" t="s">
        <v>613</v>
      </c>
      <c r="E80" s="61"/>
      <c r="F80" s="120"/>
    </row>
    <row r="81" spans="1:6" ht="50.5" customHeight="1" x14ac:dyDescent="0.35">
      <c r="A81" s="50" t="s">
        <v>794</v>
      </c>
      <c r="B81" s="8" t="s">
        <v>475</v>
      </c>
      <c r="C81" s="18" t="s">
        <v>795</v>
      </c>
      <c r="D81" s="8" t="s">
        <v>796</v>
      </c>
      <c r="E81" s="61"/>
      <c r="F81" s="18"/>
    </row>
    <row r="82" spans="1:6" ht="50.5" customHeight="1" x14ac:dyDescent="0.35">
      <c r="A82" s="50" t="s">
        <v>797</v>
      </c>
      <c r="B82" s="18" t="s">
        <v>561</v>
      </c>
      <c r="C82" s="18" t="s">
        <v>798</v>
      </c>
      <c r="D82" s="18" t="s">
        <v>799</v>
      </c>
      <c r="E82" s="61"/>
      <c r="F82" s="18"/>
    </row>
    <row r="83" spans="1:6" ht="50.5" customHeight="1" x14ac:dyDescent="0.35">
      <c r="A83" s="50" t="s">
        <v>800</v>
      </c>
      <c r="B83" s="18" t="s">
        <v>495</v>
      </c>
      <c r="C83" s="18" t="s">
        <v>801</v>
      </c>
      <c r="D83" s="18" t="s">
        <v>757</v>
      </c>
      <c r="E83" s="61"/>
      <c r="F83" s="18"/>
    </row>
    <row r="84" spans="1:6" ht="50.5" customHeight="1" x14ac:dyDescent="0.35">
      <c r="A84" s="50" t="s">
        <v>802</v>
      </c>
      <c r="B84" s="18" t="s">
        <v>535</v>
      </c>
      <c r="C84" s="18" t="s">
        <v>803</v>
      </c>
      <c r="D84" s="18" t="s">
        <v>632</v>
      </c>
      <c r="E84" s="61"/>
      <c r="F84" s="18"/>
    </row>
    <row r="85" spans="1:6" ht="50.5" customHeight="1" x14ac:dyDescent="0.35">
      <c r="A85" s="20" t="s">
        <v>804</v>
      </c>
      <c r="B85" s="8" t="s">
        <v>561</v>
      </c>
      <c r="C85" s="18" t="s">
        <v>805</v>
      </c>
      <c r="D85" s="18" t="s">
        <v>732</v>
      </c>
      <c r="E85" s="20" t="s">
        <v>533</v>
      </c>
      <c r="F85" s="120"/>
    </row>
    <row r="86" spans="1:6" ht="50.5" customHeight="1" x14ac:dyDescent="0.35">
      <c r="A86" s="20" t="s">
        <v>806</v>
      </c>
      <c r="B86" s="8" t="s">
        <v>561</v>
      </c>
      <c r="C86" s="18" t="s">
        <v>807</v>
      </c>
      <c r="D86" s="18" t="s">
        <v>732</v>
      </c>
      <c r="E86" s="61"/>
      <c r="F86" s="120"/>
    </row>
    <row r="87" spans="1:6" ht="50.5" customHeight="1" x14ac:dyDescent="0.35">
      <c r="A87" s="50" t="s">
        <v>808</v>
      </c>
      <c r="B87" s="18" t="s">
        <v>543</v>
      </c>
      <c r="C87" s="18" t="s">
        <v>809</v>
      </c>
      <c r="D87" s="18" t="s">
        <v>757</v>
      </c>
      <c r="E87" s="61"/>
      <c r="F87" s="18"/>
    </row>
    <row r="88" spans="1:6" ht="50.5" customHeight="1" x14ac:dyDescent="0.35">
      <c r="A88" s="20" t="s">
        <v>810</v>
      </c>
      <c r="B88" s="8" t="s">
        <v>543</v>
      </c>
      <c r="C88" s="18" t="s">
        <v>811</v>
      </c>
      <c r="D88" s="18" t="s">
        <v>732</v>
      </c>
      <c r="E88" s="61"/>
      <c r="F88" s="120"/>
    </row>
    <row r="89" spans="1:6" ht="50.5" customHeight="1" x14ac:dyDescent="0.35">
      <c r="A89" s="20" t="s">
        <v>812</v>
      </c>
      <c r="B89" s="8" t="s">
        <v>530</v>
      </c>
      <c r="C89" s="18" t="s">
        <v>813</v>
      </c>
      <c r="D89" s="18" t="s">
        <v>732</v>
      </c>
      <c r="E89" s="61"/>
      <c r="F89" s="120"/>
    </row>
    <row r="90" spans="1:6" ht="50.5" customHeight="1" x14ac:dyDescent="0.35">
      <c r="A90" s="50" t="s">
        <v>814</v>
      </c>
      <c r="B90" s="18" t="s">
        <v>561</v>
      </c>
      <c r="C90" s="18" t="s">
        <v>815</v>
      </c>
      <c r="D90" s="18" t="s">
        <v>632</v>
      </c>
      <c r="E90" s="61"/>
      <c r="F90" s="18"/>
    </row>
    <row r="91" spans="1:6" ht="50.5" customHeight="1" x14ac:dyDescent="0.35">
      <c r="A91" s="50" t="s">
        <v>816</v>
      </c>
      <c r="B91" s="8" t="s">
        <v>475</v>
      </c>
      <c r="C91" s="18" t="s">
        <v>817</v>
      </c>
      <c r="D91" s="18" t="s">
        <v>632</v>
      </c>
      <c r="E91" s="61"/>
      <c r="F91" s="18"/>
    </row>
    <row r="92" spans="1:6" ht="50.5" customHeight="1" x14ac:dyDescent="0.35">
      <c r="A92" s="50" t="s">
        <v>818</v>
      </c>
      <c r="B92" s="8" t="s">
        <v>475</v>
      </c>
      <c r="C92" s="125" t="s">
        <v>819</v>
      </c>
      <c r="D92" s="18" t="s">
        <v>688</v>
      </c>
      <c r="E92" s="61"/>
      <c r="F92" s="8"/>
    </row>
    <row r="93" spans="1:6" ht="50.5" customHeight="1" x14ac:dyDescent="0.35">
      <c r="A93" s="50" t="s">
        <v>820</v>
      </c>
      <c r="B93" s="8" t="s">
        <v>475</v>
      </c>
      <c r="C93" s="18" t="s">
        <v>821</v>
      </c>
      <c r="D93" s="18" t="s">
        <v>822</v>
      </c>
      <c r="E93" s="61"/>
      <c r="F93" s="8"/>
    </row>
    <row r="94" spans="1:6" ht="50.5" customHeight="1" x14ac:dyDescent="0.35">
      <c r="A94" s="50" t="s">
        <v>823</v>
      </c>
      <c r="B94" s="8" t="s">
        <v>475</v>
      </c>
      <c r="C94" s="18" t="s">
        <v>824</v>
      </c>
      <c r="D94" s="50" t="s">
        <v>825</v>
      </c>
      <c r="E94" s="61"/>
      <c r="F94" s="8"/>
    </row>
    <row r="95" spans="1:6" ht="50.5" customHeight="1" x14ac:dyDescent="0.35">
      <c r="A95" s="50" t="s">
        <v>826</v>
      </c>
      <c r="B95" s="18" t="s">
        <v>535</v>
      </c>
      <c r="C95" s="18" t="s">
        <v>827</v>
      </c>
      <c r="D95" s="18" t="s">
        <v>632</v>
      </c>
      <c r="E95" s="61"/>
      <c r="F95" s="18"/>
    </row>
    <row r="96" spans="1:6" ht="50.5" customHeight="1" x14ac:dyDescent="0.35">
      <c r="A96" s="50" t="s">
        <v>828</v>
      </c>
      <c r="B96" s="18" t="s">
        <v>535</v>
      </c>
      <c r="C96" s="18" t="s">
        <v>829</v>
      </c>
      <c r="D96" s="18" t="s">
        <v>632</v>
      </c>
      <c r="E96" s="61"/>
      <c r="F96" s="18"/>
    </row>
    <row r="97" spans="1:6" ht="50.5" customHeight="1" x14ac:dyDescent="0.35">
      <c r="A97" s="50" t="s">
        <v>830</v>
      </c>
      <c r="B97" s="18" t="s">
        <v>535</v>
      </c>
      <c r="C97" s="18" t="s">
        <v>831</v>
      </c>
      <c r="D97" s="18" t="s">
        <v>632</v>
      </c>
      <c r="E97" s="61"/>
      <c r="F97" s="18"/>
    </row>
    <row r="98" spans="1:6" ht="50.5" customHeight="1" x14ac:dyDescent="0.35">
      <c r="A98" s="20" t="s">
        <v>832</v>
      </c>
      <c r="B98" s="8" t="s">
        <v>535</v>
      </c>
      <c r="C98" s="8" t="s">
        <v>833</v>
      </c>
      <c r="D98" s="8" t="s">
        <v>674</v>
      </c>
      <c r="E98" s="61"/>
      <c r="F98" s="8"/>
    </row>
    <row r="99" spans="1:6" ht="50.5" customHeight="1" x14ac:dyDescent="0.35">
      <c r="A99" s="50" t="s">
        <v>834</v>
      </c>
      <c r="B99" s="18" t="s">
        <v>535</v>
      </c>
      <c r="C99" s="18" t="s">
        <v>835</v>
      </c>
      <c r="D99" s="18" t="s">
        <v>717</v>
      </c>
      <c r="E99" s="61"/>
      <c r="F99" s="18"/>
    </row>
    <row r="100" spans="1:6" ht="50.5" customHeight="1" x14ac:dyDescent="0.35">
      <c r="A100" s="50" t="s">
        <v>836</v>
      </c>
      <c r="B100" s="18" t="s">
        <v>535</v>
      </c>
      <c r="C100" s="18" t="s">
        <v>837</v>
      </c>
      <c r="D100" s="18" t="s">
        <v>688</v>
      </c>
      <c r="E100" s="61"/>
      <c r="F100" s="18"/>
    </row>
    <row r="101" spans="1:6" ht="50.5" customHeight="1" x14ac:dyDescent="0.35">
      <c r="A101" s="20" t="s">
        <v>838</v>
      </c>
      <c r="B101" s="8" t="s">
        <v>561</v>
      </c>
      <c r="C101" s="18" t="s">
        <v>839</v>
      </c>
      <c r="D101" s="18" t="s">
        <v>688</v>
      </c>
      <c r="E101" s="20" t="s">
        <v>533</v>
      </c>
      <c r="F101" s="8"/>
    </row>
    <row r="102" spans="1:6" ht="50.5" customHeight="1" x14ac:dyDescent="0.35">
      <c r="A102" s="20" t="s">
        <v>840</v>
      </c>
      <c r="B102" s="8" t="s">
        <v>535</v>
      </c>
      <c r="C102" s="8" t="s">
        <v>841</v>
      </c>
      <c r="D102" s="18" t="s">
        <v>632</v>
      </c>
      <c r="E102" s="61"/>
      <c r="F102" s="8"/>
    </row>
    <row r="103" spans="1:6" ht="50.5" customHeight="1" x14ac:dyDescent="0.35">
      <c r="A103" s="20" t="s">
        <v>842</v>
      </c>
      <c r="B103" s="8" t="s">
        <v>561</v>
      </c>
      <c r="C103" s="18" t="s">
        <v>843</v>
      </c>
      <c r="D103" s="18" t="s">
        <v>732</v>
      </c>
      <c r="E103" s="61"/>
      <c r="F103" s="120"/>
    </row>
    <row r="104" spans="1:6" ht="50.5" customHeight="1" x14ac:dyDescent="0.35">
      <c r="A104" s="50" t="s">
        <v>844</v>
      </c>
      <c r="B104" s="18" t="s">
        <v>543</v>
      </c>
      <c r="C104" s="18" t="s">
        <v>845</v>
      </c>
      <c r="D104" s="18" t="s">
        <v>757</v>
      </c>
      <c r="E104" s="61"/>
      <c r="F104" s="18"/>
    </row>
    <row r="105" spans="1:6" ht="50.5" customHeight="1" x14ac:dyDescent="0.35">
      <c r="A105" s="50" t="s">
        <v>846</v>
      </c>
      <c r="B105" s="18" t="s">
        <v>535</v>
      </c>
      <c r="C105" s="18" t="s">
        <v>847</v>
      </c>
      <c r="D105" s="18" t="s">
        <v>757</v>
      </c>
      <c r="E105" s="61"/>
      <c r="F105" s="18"/>
    </row>
    <row r="106" spans="1:6" ht="50.5" customHeight="1" x14ac:dyDescent="0.35">
      <c r="A106" s="50" t="s">
        <v>848</v>
      </c>
      <c r="B106" s="18" t="s">
        <v>535</v>
      </c>
      <c r="C106" s="18" t="s">
        <v>849</v>
      </c>
      <c r="D106" s="18" t="s">
        <v>632</v>
      </c>
      <c r="E106" s="61"/>
      <c r="F106" s="18"/>
    </row>
    <row r="107" spans="1:6" ht="50.5" customHeight="1" x14ac:dyDescent="0.35">
      <c r="A107" s="50" t="s">
        <v>850</v>
      </c>
      <c r="B107" s="18" t="s">
        <v>535</v>
      </c>
      <c r="C107" s="18" t="s">
        <v>851</v>
      </c>
      <c r="D107" s="18" t="s">
        <v>632</v>
      </c>
      <c r="E107" s="61"/>
      <c r="F107" s="18"/>
    </row>
    <row r="108" spans="1:6" ht="50.5" customHeight="1" x14ac:dyDescent="0.35">
      <c r="A108" s="20" t="s">
        <v>852</v>
      </c>
      <c r="B108" s="8" t="s">
        <v>475</v>
      </c>
      <c r="C108" s="18" t="s">
        <v>853</v>
      </c>
      <c r="D108" s="18" t="s">
        <v>732</v>
      </c>
      <c r="E108" s="20" t="s">
        <v>533</v>
      </c>
      <c r="F108" s="120"/>
    </row>
    <row r="109" spans="1:6" ht="50.5" customHeight="1" x14ac:dyDescent="0.35">
      <c r="A109" s="20" t="s">
        <v>854</v>
      </c>
      <c r="B109" s="8" t="s">
        <v>543</v>
      </c>
      <c r="C109" s="18" t="s">
        <v>855</v>
      </c>
      <c r="D109" s="18" t="s">
        <v>688</v>
      </c>
      <c r="E109" s="20" t="s">
        <v>533</v>
      </c>
      <c r="F109" s="8"/>
    </row>
    <row r="110" spans="1:6" ht="50.5" customHeight="1" x14ac:dyDescent="0.35">
      <c r="A110" s="20" t="s">
        <v>856</v>
      </c>
      <c r="B110" s="8" t="s">
        <v>580</v>
      </c>
      <c r="C110" s="8" t="s">
        <v>857</v>
      </c>
      <c r="D110" s="18" t="s">
        <v>688</v>
      </c>
      <c r="E110" s="18"/>
      <c r="F110" s="8"/>
    </row>
    <row r="111" spans="1:6" ht="50.5" customHeight="1" x14ac:dyDescent="0.35">
      <c r="A111" s="20" t="s">
        <v>858</v>
      </c>
      <c r="B111" s="8" t="s">
        <v>535</v>
      </c>
      <c r="C111" s="18" t="s">
        <v>859</v>
      </c>
      <c r="D111" s="18" t="s">
        <v>681</v>
      </c>
      <c r="E111" s="18"/>
      <c r="F111" s="120"/>
    </row>
    <row r="112" spans="1:6" ht="50.5" customHeight="1" x14ac:dyDescent="0.35">
      <c r="A112" s="20" t="s">
        <v>860</v>
      </c>
      <c r="B112" s="8" t="s">
        <v>535</v>
      </c>
      <c r="C112" s="18" t="s">
        <v>861</v>
      </c>
      <c r="D112" s="18" t="s">
        <v>862</v>
      </c>
      <c r="E112" s="18"/>
      <c r="F112" s="8"/>
    </row>
    <row r="113" spans="1:6" ht="50.5" customHeight="1" x14ac:dyDescent="0.35">
      <c r="A113" s="20" t="s">
        <v>863</v>
      </c>
      <c r="B113" s="8" t="s">
        <v>611</v>
      </c>
      <c r="C113" s="8" t="s">
        <v>864</v>
      </c>
      <c r="D113" s="18" t="s">
        <v>757</v>
      </c>
      <c r="E113" s="61"/>
      <c r="F113" s="8"/>
    </row>
    <row r="114" spans="1:6" ht="50.5" customHeight="1" x14ac:dyDescent="0.35">
      <c r="A114" s="20" t="s">
        <v>865</v>
      </c>
      <c r="B114" s="8" t="s">
        <v>543</v>
      </c>
      <c r="C114" s="8" t="s">
        <v>866</v>
      </c>
      <c r="D114" s="18" t="s">
        <v>688</v>
      </c>
      <c r="E114" s="20" t="s">
        <v>533</v>
      </c>
      <c r="F114" s="122"/>
    </row>
    <row r="115" spans="1:6" ht="50.5" customHeight="1" x14ac:dyDescent="0.35">
      <c r="A115" s="20" t="s">
        <v>867</v>
      </c>
      <c r="B115" s="8" t="s">
        <v>475</v>
      </c>
      <c r="C115" s="8" t="s">
        <v>868</v>
      </c>
      <c r="D115" s="18" t="s">
        <v>632</v>
      </c>
      <c r="E115" s="61"/>
      <c r="F115" s="8"/>
    </row>
    <row r="116" spans="1:6" ht="50.5" customHeight="1" x14ac:dyDescent="0.35">
      <c r="A116" s="20" t="s">
        <v>869</v>
      </c>
      <c r="B116" s="8" t="s">
        <v>475</v>
      </c>
      <c r="C116" s="8" t="s">
        <v>870</v>
      </c>
      <c r="D116" s="18" t="s">
        <v>632</v>
      </c>
      <c r="E116" s="61"/>
      <c r="F116" s="8"/>
    </row>
    <row r="117" spans="1:6" ht="50.5" customHeight="1" x14ac:dyDescent="0.35">
      <c r="A117" s="20" t="s">
        <v>871</v>
      </c>
      <c r="B117" s="8" t="s">
        <v>475</v>
      </c>
      <c r="C117" s="8" t="s">
        <v>872</v>
      </c>
      <c r="D117" s="18" t="s">
        <v>632</v>
      </c>
      <c r="E117" s="61"/>
      <c r="F117" s="8"/>
    </row>
    <row r="118" spans="1:6" ht="50.5" customHeight="1" x14ac:dyDescent="0.35">
      <c r="A118" s="20" t="s">
        <v>873</v>
      </c>
      <c r="B118" s="8" t="s">
        <v>535</v>
      </c>
      <c r="C118" s="18" t="s">
        <v>874</v>
      </c>
      <c r="D118" s="18" t="s">
        <v>732</v>
      </c>
      <c r="E118" s="61"/>
      <c r="F118" s="120"/>
    </row>
    <row r="119" spans="1:6" ht="50.5" customHeight="1" x14ac:dyDescent="0.35">
      <c r="A119" s="20" t="s">
        <v>875</v>
      </c>
      <c r="B119" s="8" t="s">
        <v>543</v>
      </c>
      <c r="C119" s="8" t="s">
        <v>876</v>
      </c>
      <c r="D119" s="18" t="s">
        <v>688</v>
      </c>
      <c r="E119" s="103"/>
      <c r="F119" s="8"/>
    </row>
    <row r="120" spans="1:6" ht="50.5" customHeight="1" x14ac:dyDescent="0.35">
      <c r="A120" s="20" t="s">
        <v>877</v>
      </c>
      <c r="B120" s="8" t="s">
        <v>535</v>
      </c>
      <c r="C120" s="8" t="s">
        <v>878</v>
      </c>
      <c r="D120" s="18" t="s">
        <v>717</v>
      </c>
      <c r="E120" s="61"/>
      <c r="F120" s="8"/>
    </row>
    <row r="121" spans="1:6" ht="50.5" customHeight="1" x14ac:dyDescent="0.35">
      <c r="A121" s="20" t="s">
        <v>879</v>
      </c>
      <c r="B121" s="8" t="s">
        <v>475</v>
      </c>
      <c r="C121" s="18" t="s">
        <v>880</v>
      </c>
      <c r="D121" s="18" t="s">
        <v>732</v>
      </c>
      <c r="E121" s="61"/>
      <c r="F121" s="120"/>
    </row>
    <row r="122" spans="1:6" ht="50.5" customHeight="1" x14ac:dyDescent="0.35">
      <c r="A122" s="20" t="s">
        <v>881</v>
      </c>
      <c r="B122" s="8" t="s">
        <v>475</v>
      </c>
      <c r="C122" s="18" t="s">
        <v>882</v>
      </c>
      <c r="D122" s="18" t="s">
        <v>732</v>
      </c>
      <c r="E122" s="61"/>
      <c r="F122" s="120"/>
    </row>
    <row r="123" spans="1:6" ht="50.5" customHeight="1" x14ac:dyDescent="0.35">
      <c r="A123" s="20" t="s">
        <v>883</v>
      </c>
      <c r="B123" s="8" t="s">
        <v>535</v>
      </c>
      <c r="C123" s="8" t="s">
        <v>884</v>
      </c>
      <c r="D123" s="18" t="s">
        <v>688</v>
      </c>
      <c r="E123" s="103"/>
      <c r="F123" s="8"/>
    </row>
    <row r="124" spans="1:6" ht="50.5" customHeight="1" x14ac:dyDescent="0.35">
      <c r="A124" s="20" t="s">
        <v>885</v>
      </c>
      <c r="B124" s="8" t="s">
        <v>475</v>
      </c>
      <c r="C124" s="8" t="s">
        <v>886</v>
      </c>
      <c r="D124" s="18" t="s">
        <v>688</v>
      </c>
      <c r="E124" s="103"/>
      <c r="F124" s="8"/>
    </row>
    <row r="125" spans="1:6" ht="50.5" customHeight="1" x14ac:dyDescent="0.35">
      <c r="A125" s="20" t="s">
        <v>887</v>
      </c>
      <c r="B125" s="8" t="s">
        <v>475</v>
      </c>
      <c r="C125" s="8" t="s">
        <v>888</v>
      </c>
      <c r="D125" s="18" t="s">
        <v>889</v>
      </c>
      <c r="E125" s="61"/>
      <c r="F125" s="8"/>
    </row>
    <row r="126" spans="1:6" ht="50.5" customHeight="1" x14ac:dyDescent="0.35">
      <c r="A126" s="20" t="s">
        <v>890</v>
      </c>
      <c r="B126" s="8" t="s">
        <v>561</v>
      </c>
      <c r="C126" s="8" t="s">
        <v>891</v>
      </c>
      <c r="D126" s="18" t="s">
        <v>688</v>
      </c>
      <c r="E126" s="20" t="s">
        <v>533</v>
      </c>
      <c r="F126" s="8"/>
    </row>
    <row r="127" spans="1:6" ht="50.5" customHeight="1" x14ac:dyDescent="0.35">
      <c r="A127" s="20" t="s">
        <v>892</v>
      </c>
      <c r="B127" s="8" t="s">
        <v>535</v>
      </c>
      <c r="C127" s="18" t="s">
        <v>893</v>
      </c>
      <c r="D127" s="18" t="s">
        <v>732</v>
      </c>
      <c r="E127" s="20" t="s">
        <v>533</v>
      </c>
      <c r="F127" s="120"/>
    </row>
    <row r="128" spans="1:6" ht="50.5" customHeight="1" x14ac:dyDescent="0.35">
      <c r="A128" s="20" t="s">
        <v>894</v>
      </c>
      <c r="B128" s="8" t="s">
        <v>561</v>
      </c>
      <c r="C128" s="8" t="s">
        <v>895</v>
      </c>
      <c r="D128" s="18" t="s">
        <v>717</v>
      </c>
      <c r="E128" s="61"/>
      <c r="F128" s="8" t="s">
        <v>896</v>
      </c>
    </row>
    <row r="129" spans="1:6" ht="50.5" customHeight="1" x14ac:dyDescent="0.35">
      <c r="A129" s="20" t="s">
        <v>897</v>
      </c>
      <c r="B129" s="8" t="s">
        <v>495</v>
      </c>
      <c r="C129" s="18" t="s">
        <v>898</v>
      </c>
      <c r="D129" s="18" t="s">
        <v>732</v>
      </c>
      <c r="E129" s="61"/>
      <c r="F129" s="120"/>
    </row>
    <row r="130" spans="1:6" ht="50.5" customHeight="1" x14ac:dyDescent="0.35">
      <c r="A130" s="20" t="s">
        <v>899</v>
      </c>
      <c r="B130" s="8" t="s">
        <v>495</v>
      </c>
      <c r="C130" s="18" t="s">
        <v>900</v>
      </c>
      <c r="D130" s="18" t="s">
        <v>732</v>
      </c>
      <c r="E130" s="20" t="s">
        <v>533</v>
      </c>
      <c r="F130" s="120"/>
    </row>
    <row r="131" spans="1:6" ht="50.5" customHeight="1" x14ac:dyDescent="0.35">
      <c r="A131" s="20" t="s">
        <v>901</v>
      </c>
      <c r="B131" s="8" t="s">
        <v>475</v>
      </c>
      <c r="C131" s="8" t="s">
        <v>902</v>
      </c>
      <c r="D131" s="18" t="s">
        <v>688</v>
      </c>
      <c r="E131" s="20" t="s">
        <v>533</v>
      </c>
      <c r="F131" s="8"/>
    </row>
    <row r="132" spans="1:6" ht="50.5" customHeight="1" x14ac:dyDescent="0.35">
      <c r="A132" s="20" t="s">
        <v>903</v>
      </c>
      <c r="B132" s="8" t="s">
        <v>475</v>
      </c>
      <c r="C132" s="8" t="s">
        <v>904</v>
      </c>
      <c r="D132" s="50" t="s">
        <v>905</v>
      </c>
      <c r="E132" s="8"/>
      <c r="F132" s="8"/>
    </row>
    <row r="133" spans="1:6" ht="50.5" customHeight="1" x14ac:dyDescent="0.35">
      <c r="A133" s="20" t="s">
        <v>906</v>
      </c>
      <c r="B133" s="8" t="s">
        <v>561</v>
      </c>
      <c r="C133" s="18" t="s">
        <v>907</v>
      </c>
      <c r="D133" s="18" t="s">
        <v>732</v>
      </c>
      <c r="E133" s="20" t="s">
        <v>533</v>
      </c>
      <c r="F133" s="120"/>
    </row>
    <row r="134" spans="1:6" ht="50.5" customHeight="1" x14ac:dyDescent="0.35">
      <c r="A134" s="20" t="s">
        <v>908</v>
      </c>
      <c r="B134" s="8" t="s">
        <v>561</v>
      </c>
      <c r="C134" s="8" t="s">
        <v>909</v>
      </c>
      <c r="D134" s="18" t="s">
        <v>688</v>
      </c>
      <c r="E134" s="8"/>
      <c r="F134" s="8"/>
    </row>
    <row r="135" spans="1:6" ht="50.5" customHeight="1" x14ac:dyDescent="0.35">
      <c r="A135" s="20" t="s">
        <v>910</v>
      </c>
      <c r="B135" s="8" t="s">
        <v>495</v>
      </c>
      <c r="C135" s="18" t="s">
        <v>911</v>
      </c>
      <c r="D135" s="18" t="s">
        <v>732</v>
      </c>
      <c r="E135" s="20" t="s">
        <v>533</v>
      </c>
      <c r="F135" s="120"/>
    </row>
    <row r="136" spans="1:6" ht="50.5" customHeight="1" x14ac:dyDescent="0.35">
      <c r="A136" s="96" t="s">
        <v>912</v>
      </c>
      <c r="B136" s="8" t="s">
        <v>535</v>
      </c>
      <c r="C136" s="8" t="s">
        <v>913</v>
      </c>
      <c r="D136" s="18" t="s">
        <v>688</v>
      </c>
      <c r="E136" s="8" t="s">
        <v>533</v>
      </c>
      <c r="F136" s="8"/>
    </row>
    <row r="137" spans="1:6" ht="50.5" customHeight="1" x14ac:dyDescent="0.35">
      <c r="A137" s="96" t="s">
        <v>914</v>
      </c>
      <c r="B137" s="8" t="s">
        <v>535</v>
      </c>
      <c r="C137" s="18" t="s">
        <v>915</v>
      </c>
      <c r="D137" s="18" t="s">
        <v>732</v>
      </c>
      <c r="E137" s="61"/>
      <c r="F137" s="120"/>
    </row>
    <row r="138" spans="1:6" ht="50.5" customHeight="1" x14ac:dyDescent="0.35">
      <c r="A138" s="96" t="s">
        <v>916</v>
      </c>
      <c r="B138" s="8" t="s">
        <v>561</v>
      </c>
      <c r="C138" s="18" t="s">
        <v>917</v>
      </c>
      <c r="D138" s="18" t="s">
        <v>732</v>
      </c>
      <c r="E138" s="61"/>
      <c r="F138" s="120"/>
    </row>
    <row r="139" spans="1:6" ht="50.5" customHeight="1" x14ac:dyDescent="0.35">
      <c r="A139" s="96" t="s">
        <v>918</v>
      </c>
      <c r="B139" s="8" t="s">
        <v>535</v>
      </c>
      <c r="C139" s="8" t="s">
        <v>919</v>
      </c>
      <c r="D139" s="50" t="s">
        <v>717</v>
      </c>
      <c r="E139" s="20" t="s">
        <v>533</v>
      </c>
      <c r="F139" s="8"/>
    </row>
    <row r="140" spans="1:6" ht="50.5" customHeight="1" x14ac:dyDescent="0.35">
      <c r="A140" s="96" t="s">
        <v>920</v>
      </c>
      <c r="B140" s="8" t="s">
        <v>475</v>
      </c>
      <c r="C140" s="8" t="s">
        <v>921</v>
      </c>
      <c r="D140" s="18" t="s">
        <v>688</v>
      </c>
      <c r="E140" s="8"/>
      <c r="F140" s="8"/>
    </row>
    <row r="141" spans="1:6" ht="50.5" customHeight="1" x14ac:dyDescent="0.35">
      <c r="A141" s="96" t="s">
        <v>922</v>
      </c>
      <c r="B141" s="8" t="s">
        <v>561</v>
      </c>
      <c r="C141" s="8" t="s">
        <v>923</v>
      </c>
      <c r="D141" s="8" t="s">
        <v>674</v>
      </c>
      <c r="E141" s="8"/>
      <c r="F141" s="8"/>
    </row>
    <row r="142" spans="1:6" ht="50.5" customHeight="1" x14ac:dyDescent="0.35">
      <c r="A142" s="96" t="s">
        <v>924</v>
      </c>
      <c r="B142" s="8" t="s">
        <v>475</v>
      </c>
      <c r="C142" s="8" t="s">
        <v>925</v>
      </c>
      <c r="D142" s="8" t="s">
        <v>796</v>
      </c>
      <c r="E142" s="97" t="s">
        <v>533</v>
      </c>
      <c r="F142" s="8"/>
    </row>
    <row r="143" spans="1:6" ht="50.5" customHeight="1" x14ac:dyDescent="0.35">
      <c r="A143" s="20" t="s">
        <v>926</v>
      </c>
      <c r="B143" s="8" t="s">
        <v>475</v>
      </c>
      <c r="C143" s="18" t="s">
        <v>927</v>
      </c>
      <c r="D143" s="18" t="s">
        <v>732</v>
      </c>
      <c r="E143" s="61"/>
      <c r="F143" s="120"/>
    </row>
    <row r="144" spans="1:6" ht="50.5" customHeight="1" x14ac:dyDescent="0.35">
      <c r="A144" s="20" t="s">
        <v>928</v>
      </c>
      <c r="B144" s="8" t="s">
        <v>475</v>
      </c>
      <c r="C144" s="8" t="s">
        <v>929</v>
      </c>
      <c r="D144" s="18" t="s">
        <v>717</v>
      </c>
      <c r="E144" s="61"/>
      <c r="F144" s="8"/>
    </row>
    <row r="145" spans="1:6" ht="50.5" customHeight="1" x14ac:dyDescent="0.35">
      <c r="A145" s="20" t="s">
        <v>930</v>
      </c>
      <c r="B145" s="8" t="s">
        <v>475</v>
      </c>
      <c r="C145" s="8" t="s">
        <v>931</v>
      </c>
      <c r="D145" s="18" t="s">
        <v>694</v>
      </c>
      <c r="E145" s="8"/>
      <c r="F145" s="8"/>
    </row>
    <row r="146" spans="1:6" ht="50.5" customHeight="1" x14ac:dyDescent="0.35">
      <c r="A146" s="20" t="s">
        <v>932</v>
      </c>
      <c r="B146" s="8" t="s">
        <v>530</v>
      </c>
      <c r="C146" s="18" t="s">
        <v>933</v>
      </c>
      <c r="D146" s="18" t="s">
        <v>732</v>
      </c>
      <c r="E146" s="61"/>
      <c r="F146" s="120"/>
    </row>
    <row r="147" spans="1:6" ht="50.5" customHeight="1" x14ac:dyDescent="0.35">
      <c r="A147" s="20" t="s">
        <v>934</v>
      </c>
      <c r="B147" s="8" t="s">
        <v>535</v>
      </c>
      <c r="C147" s="8" t="s">
        <v>935</v>
      </c>
      <c r="D147" s="18" t="s">
        <v>688</v>
      </c>
      <c r="E147" s="8"/>
      <c r="F147" s="8"/>
    </row>
    <row r="148" spans="1:6" ht="50.5" customHeight="1" x14ac:dyDescent="0.35">
      <c r="A148" s="20" t="s">
        <v>936</v>
      </c>
      <c r="B148" s="8" t="s">
        <v>535</v>
      </c>
      <c r="C148" s="18" t="s">
        <v>937</v>
      </c>
      <c r="D148" s="18" t="s">
        <v>732</v>
      </c>
      <c r="E148" s="61"/>
      <c r="F148" s="120"/>
    </row>
    <row r="149" spans="1:6" ht="50.5" customHeight="1" x14ac:dyDescent="0.35">
      <c r="A149" s="20" t="s">
        <v>938</v>
      </c>
      <c r="B149" s="8" t="s">
        <v>580</v>
      </c>
      <c r="C149" s="18" t="s">
        <v>939</v>
      </c>
      <c r="D149" s="18" t="s">
        <v>732</v>
      </c>
      <c r="E149" s="20" t="s">
        <v>533</v>
      </c>
      <c r="F149" s="120"/>
    </row>
    <row r="150" spans="1:6" ht="50.5" customHeight="1" x14ac:dyDescent="0.35">
      <c r="A150" s="20" t="s">
        <v>940</v>
      </c>
      <c r="B150" s="8" t="s">
        <v>561</v>
      </c>
      <c r="C150" s="18" t="s">
        <v>941</v>
      </c>
      <c r="D150" s="18" t="s">
        <v>732</v>
      </c>
      <c r="E150" s="61"/>
      <c r="F150" s="120"/>
    </row>
    <row r="151" spans="1:6" ht="50.5" customHeight="1" x14ac:dyDescent="0.35">
      <c r="A151" s="20" t="s">
        <v>942</v>
      </c>
      <c r="B151" s="8" t="s">
        <v>475</v>
      </c>
      <c r="C151" s="18" t="s">
        <v>943</v>
      </c>
      <c r="D151" s="18" t="s">
        <v>732</v>
      </c>
      <c r="E151" s="61"/>
      <c r="F151" s="120"/>
    </row>
    <row r="152" spans="1:6" ht="50.5" customHeight="1" x14ac:dyDescent="0.35">
      <c r="A152" s="20" t="s">
        <v>944</v>
      </c>
      <c r="B152" s="8" t="s">
        <v>495</v>
      </c>
      <c r="C152" s="18" t="s">
        <v>945</v>
      </c>
      <c r="D152" s="8" t="s">
        <v>796</v>
      </c>
      <c r="E152" s="20" t="s">
        <v>533</v>
      </c>
      <c r="F152" s="8"/>
    </row>
    <row r="153" spans="1:6" ht="50.5" customHeight="1" x14ac:dyDescent="0.35">
      <c r="A153" s="20" t="s">
        <v>946</v>
      </c>
      <c r="B153" s="8" t="s">
        <v>495</v>
      </c>
      <c r="C153" s="18" t="s">
        <v>947</v>
      </c>
      <c r="D153" s="50" t="s">
        <v>905</v>
      </c>
      <c r="E153" s="20" t="s">
        <v>533</v>
      </c>
      <c r="F153" s="120"/>
    </row>
    <row r="154" spans="1:6" ht="50.5" customHeight="1" x14ac:dyDescent="0.35">
      <c r="A154" s="20" t="s">
        <v>948</v>
      </c>
      <c r="B154" s="8" t="s">
        <v>495</v>
      </c>
      <c r="C154" s="18" t="s">
        <v>949</v>
      </c>
      <c r="D154" s="8" t="s">
        <v>796</v>
      </c>
      <c r="E154" s="20" t="s">
        <v>533</v>
      </c>
      <c r="F154" s="8"/>
    </row>
    <row r="155" spans="1:6" ht="50.5" customHeight="1" x14ac:dyDescent="0.35">
      <c r="A155" s="20" t="s">
        <v>950</v>
      </c>
      <c r="B155" s="8" t="s">
        <v>495</v>
      </c>
      <c r="C155" s="18" t="s">
        <v>951</v>
      </c>
      <c r="D155" s="18" t="s">
        <v>732</v>
      </c>
      <c r="E155" s="20" t="s">
        <v>533</v>
      </c>
      <c r="F155" s="120"/>
    </row>
    <row r="156" spans="1:6" ht="50.5" customHeight="1" x14ac:dyDescent="0.35">
      <c r="A156" s="20" t="s">
        <v>952</v>
      </c>
      <c r="B156" s="8" t="s">
        <v>475</v>
      </c>
      <c r="C156" s="18" t="s">
        <v>953</v>
      </c>
      <c r="D156" s="18" t="s">
        <v>732</v>
      </c>
      <c r="E156" s="20" t="s">
        <v>533</v>
      </c>
      <c r="F156" s="120"/>
    </row>
    <row r="157" spans="1:6" ht="50.5" customHeight="1" x14ac:dyDescent="0.35">
      <c r="A157" s="20" t="s">
        <v>954</v>
      </c>
      <c r="B157" s="8" t="s">
        <v>535</v>
      </c>
      <c r="C157" s="18" t="s">
        <v>955</v>
      </c>
      <c r="D157" s="18" t="s">
        <v>732</v>
      </c>
      <c r="E157" s="61"/>
      <c r="F157" s="120"/>
    </row>
    <row r="158" spans="1:6" ht="50.5" customHeight="1" x14ac:dyDescent="0.35">
      <c r="A158" s="20" t="s">
        <v>956</v>
      </c>
      <c r="B158" s="8" t="s">
        <v>611</v>
      </c>
      <c r="C158" s="8" t="s">
        <v>957</v>
      </c>
      <c r="D158" s="18" t="s">
        <v>688</v>
      </c>
      <c r="E158" s="8"/>
      <c r="F158" s="8"/>
    </row>
    <row r="159" spans="1:6" ht="50.5" customHeight="1" x14ac:dyDescent="0.35">
      <c r="A159" s="20" t="s">
        <v>958</v>
      </c>
      <c r="B159" s="8" t="s">
        <v>475</v>
      </c>
      <c r="C159" s="18" t="s">
        <v>959</v>
      </c>
      <c r="D159" s="18" t="s">
        <v>732</v>
      </c>
      <c r="E159" s="61"/>
      <c r="F159" s="120"/>
    </row>
    <row r="160" spans="1:6" ht="50.5" customHeight="1" x14ac:dyDescent="0.35">
      <c r="A160" s="20" t="s">
        <v>960</v>
      </c>
      <c r="B160" s="8" t="s">
        <v>475</v>
      </c>
      <c r="C160" s="8" t="s">
        <v>961</v>
      </c>
      <c r="D160" s="8" t="s">
        <v>796</v>
      </c>
      <c r="E160" s="20" t="s">
        <v>533</v>
      </c>
      <c r="F160" s="8"/>
    </row>
    <row r="161" spans="1:6" ht="50.5" customHeight="1" x14ac:dyDescent="0.35">
      <c r="A161" s="20" t="s">
        <v>962</v>
      </c>
      <c r="B161" s="8" t="s">
        <v>561</v>
      </c>
      <c r="C161" s="8" t="s">
        <v>963</v>
      </c>
      <c r="D161" s="18" t="s">
        <v>825</v>
      </c>
      <c r="E161" s="8"/>
      <c r="F161" s="8"/>
    </row>
    <row r="162" spans="1:6" ht="50.5" customHeight="1" x14ac:dyDescent="0.35">
      <c r="A162" s="20" t="s">
        <v>964</v>
      </c>
      <c r="B162" s="8" t="s">
        <v>475</v>
      </c>
      <c r="C162" s="8" t="s">
        <v>965</v>
      </c>
      <c r="D162" s="18" t="s">
        <v>688</v>
      </c>
      <c r="E162" s="8"/>
      <c r="F162" s="8"/>
    </row>
    <row r="163" spans="1:6" ht="50.5" customHeight="1" x14ac:dyDescent="0.35">
      <c r="A163" s="20" t="s">
        <v>966</v>
      </c>
      <c r="B163" s="8" t="s">
        <v>561</v>
      </c>
      <c r="C163" s="8" t="s">
        <v>967</v>
      </c>
      <c r="D163" s="8" t="s">
        <v>796</v>
      </c>
      <c r="E163" s="8"/>
      <c r="F163" s="8"/>
    </row>
    <row r="164" spans="1:6" ht="50.5" customHeight="1" x14ac:dyDescent="0.35">
      <c r="A164" s="20" t="s">
        <v>968</v>
      </c>
      <c r="B164" s="8" t="s">
        <v>475</v>
      </c>
      <c r="C164" s="8" t="s">
        <v>969</v>
      </c>
      <c r="D164" s="8" t="s">
        <v>796</v>
      </c>
      <c r="E164" s="8"/>
      <c r="F164" s="8"/>
    </row>
    <row r="165" spans="1:6" ht="50.5" customHeight="1" x14ac:dyDescent="0.35">
      <c r="A165" s="20" t="s">
        <v>970</v>
      </c>
      <c r="B165" s="8" t="s">
        <v>535</v>
      </c>
      <c r="C165" s="18" t="s">
        <v>971</v>
      </c>
      <c r="D165" s="18" t="s">
        <v>732</v>
      </c>
      <c r="E165" s="61"/>
      <c r="F165" s="120"/>
    </row>
    <row r="166" spans="1:6" ht="50.5" customHeight="1" x14ac:dyDescent="0.35">
      <c r="A166" s="20" t="s">
        <v>972</v>
      </c>
      <c r="B166" s="8" t="s">
        <v>580</v>
      </c>
      <c r="C166" s="18" t="s">
        <v>973</v>
      </c>
      <c r="D166" s="18" t="s">
        <v>732</v>
      </c>
      <c r="E166" s="61"/>
      <c r="F166" s="120"/>
    </row>
    <row r="167" spans="1:6" ht="50.5" customHeight="1" x14ac:dyDescent="0.35">
      <c r="A167" s="20" t="s">
        <v>974</v>
      </c>
      <c r="B167" s="8" t="s">
        <v>611</v>
      </c>
      <c r="C167" s="18" t="s">
        <v>975</v>
      </c>
      <c r="D167" s="18" t="s">
        <v>732</v>
      </c>
      <c r="E167" s="61"/>
      <c r="F167" s="120"/>
    </row>
    <row r="168" spans="1:6" ht="50.5" customHeight="1" x14ac:dyDescent="0.35">
      <c r="A168" s="20" t="s">
        <v>976</v>
      </c>
      <c r="B168" s="8" t="s">
        <v>535</v>
      </c>
      <c r="C168" s="18" t="s">
        <v>977</v>
      </c>
      <c r="D168" s="18" t="s">
        <v>978</v>
      </c>
      <c r="E168" s="61"/>
      <c r="F168" s="120"/>
    </row>
    <row r="169" spans="1:6" ht="50.5" customHeight="1" x14ac:dyDescent="0.35">
      <c r="A169" s="20" t="s">
        <v>979</v>
      </c>
      <c r="B169" s="8" t="s">
        <v>535</v>
      </c>
      <c r="C169" s="18" t="s">
        <v>980</v>
      </c>
      <c r="D169" s="18" t="s">
        <v>732</v>
      </c>
      <c r="E169" s="61"/>
      <c r="F169" s="120"/>
    </row>
    <row r="170" spans="1:6" ht="50.5" customHeight="1" x14ac:dyDescent="0.35">
      <c r="A170" s="20" t="s">
        <v>981</v>
      </c>
      <c r="B170" s="8" t="s">
        <v>535</v>
      </c>
      <c r="C170" s="18" t="s">
        <v>982</v>
      </c>
      <c r="D170" s="18" t="s">
        <v>862</v>
      </c>
      <c r="E170" s="8"/>
      <c r="F170" s="8"/>
    </row>
    <row r="171" spans="1:6" ht="50.5" customHeight="1" x14ac:dyDescent="0.35">
      <c r="A171" s="20" t="s">
        <v>983</v>
      </c>
      <c r="B171" s="8" t="s">
        <v>561</v>
      </c>
      <c r="C171" s="18" t="s">
        <v>984</v>
      </c>
      <c r="D171" s="8" t="s">
        <v>796</v>
      </c>
      <c r="E171" s="20" t="s">
        <v>533</v>
      </c>
      <c r="F171" s="8"/>
    </row>
    <row r="172" spans="1:6" ht="50.5" customHeight="1" x14ac:dyDescent="0.35">
      <c r="A172" s="20" t="s">
        <v>985</v>
      </c>
      <c r="B172" s="8" t="s">
        <v>535</v>
      </c>
      <c r="C172" s="18" t="s">
        <v>986</v>
      </c>
      <c r="D172" s="18" t="s">
        <v>732</v>
      </c>
      <c r="E172" s="61"/>
      <c r="F172" s="120"/>
    </row>
    <row r="173" spans="1:6" ht="50.5" customHeight="1" x14ac:dyDescent="0.35">
      <c r="A173" s="20" t="s">
        <v>987</v>
      </c>
      <c r="B173" s="8" t="s">
        <v>475</v>
      </c>
      <c r="C173" s="18" t="s">
        <v>988</v>
      </c>
      <c r="D173" s="18" t="s">
        <v>732</v>
      </c>
      <c r="E173" s="61"/>
      <c r="F173" s="120"/>
    </row>
    <row r="174" spans="1:6" ht="50.5" customHeight="1" x14ac:dyDescent="0.35">
      <c r="A174" s="20" t="s">
        <v>989</v>
      </c>
      <c r="B174" s="8" t="s">
        <v>475</v>
      </c>
      <c r="C174" s="8" t="s">
        <v>990</v>
      </c>
      <c r="D174" s="18" t="s">
        <v>991</v>
      </c>
      <c r="E174" s="8"/>
      <c r="F174" s="8" t="s">
        <v>992</v>
      </c>
    </row>
    <row r="175" spans="1:6" ht="50.5" customHeight="1" x14ac:dyDescent="0.35">
      <c r="A175" s="20" t="s">
        <v>993</v>
      </c>
      <c r="B175" s="8" t="s">
        <v>561</v>
      </c>
      <c r="C175" s="18" t="s">
        <v>994</v>
      </c>
      <c r="D175" s="18" t="s">
        <v>862</v>
      </c>
      <c r="E175" s="20" t="s">
        <v>533</v>
      </c>
      <c r="F175" s="8"/>
    </row>
    <row r="176" spans="1:6" ht="50.5" customHeight="1" x14ac:dyDescent="0.35">
      <c r="A176" s="20" t="s">
        <v>995</v>
      </c>
      <c r="B176" s="8" t="s">
        <v>495</v>
      </c>
      <c r="C176" s="18" t="s">
        <v>996</v>
      </c>
      <c r="D176" s="18" t="s">
        <v>732</v>
      </c>
      <c r="E176" s="61"/>
      <c r="F176" s="120"/>
    </row>
    <row r="177" spans="1:6" ht="50.5" customHeight="1" x14ac:dyDescent="0.35">
      <c r="A177" s="20" t="s">
        <v>997</v>
      </c>
      <c r="B177" s="8" t="s">
        <v>475</v>
      </c>
      <c r="C177" s="18" t="s">
        <v>998</v>
      </c>
      <c r="D177" s="8" t="s">
        <v>796</v>
      </c>
      <c r="E177" s="8"/>
      <c r="F177" s="8"/>
    </row>
    <row r="178" spans="1:6" ht="50.5" customHeight="1" x14ac:dyDescent="0.35">
      <c r="A178" s="20" t="s">
        <v>999</v>
      </c>
      <c r="B178" s="8" t="s">
        <v>475</v>
      </c>
      <c r="C178" s="18" t="s">
        <v>1000</v>
      </c>
      <c r="D178" s="18" t="s">
        <v>732</v>
      </c>
      <c r="E178" s="61"/>
      <c r="F178" s="120"/>
    </row>
    <row r="179" spans="1:6" ht="50.5" customHeight="1" x14ac:dyDescent="0.35">
      <c r="A179" s="20" t="s">
        <v>1001</v>
      </c>
      <c r="B179" s="8" t="s">
        <v>495</v>
      </c>
      <c r="C179" s="18" t="s">
        <v>1002</v>
      </c>
      <c r="D179" s="8" t="s">
        <v>796</v>
      </c>
      <c r="E179" s="8"/>
      <c r="F179" s="8"/>
    </row>
    <row r="180" spans="1:6" ht="50.5" customHeight="1" x14ac:dyDescent="0.35">
      <c r="A180" s="20" t="s">
        <v>1003</v>
      </c>
      <c r="B180" s="8" t="s">
        <v>530</v>
      </c>
      <c r="C180" s="18" t="s">
        <v>1004</v>
      </c>
      <c r="D180" s="5" t="s">
        <v>1005</v>
      </c>
      <c r="E180" s="61" t="s">
        <v>533</v>
      </c>
      <c r="F180" s="8" t="s">
        <v>1006</v>
      </c>
    </row>
    <row r="181" spans="1:6" ht="50.5" customHeight="1" x14ac:dyDescent="0.35">
      <c r="A181" s="20" t="s">
        <v>1007</v>
      </c>
      <c r="B181" s="8" t="s">
        <v>475</v>
      </c>
      <c r="C181" s="8" t="s">
        <v>1008</v>
      </c>
      <c r="D181" s="8" t="s">
        <v>796</v>
      </c>
      <c r="E181" s="8"/>
      <c r="F181" s="8"/>
    </row>
    <row r="182" spans="1:6" ht="50.5" customHeight="1" x14ac:dyDescent="0.35">
      <c r="A182" s="20" t="s">
        <v>1009</v>
      </c>
      <c r="B182" s="8" t="s">
        <v>543</v>
      </c>
      <c r="C182" s="8" t="s">
        <v>1010</v>
      </c>
      <c r="D182" s="8" t="s">
        <v>796</v>
      </c>
      <c r="E182" s="8"/>
      <c r="F182" s="8"/>
    </row>
    <row r="183" spans="1:6" ht="50.5" customHeight="1" x14ac:dyDescent="0.35">
      <c r="A183" s="20" t="s">
        <v>1011</v>
      </c>
      <c r="B183" s="8" t="s">
        <v>535</v>
      </c>
      <c r="C183" s="8" t="s">
        <v>1012</v>
      </c>
      <c r="D183" s="8" t="s">
        <v>674</v>
      </c>
      <c r="E183" s="8"/>
      <c r="F183" s="8"/>
    </row>
    <row r="184" spans="1:6" ht="50.5" customHeight="1" x14ac:dyDescent="0.35">
      <c r="A184" s="20" t="s">
        <v>1013</v>
      </c>
      <c r="B184" s="8" t="s">
        <v>495</v>
      </c>
      <c r="C184" s="18" t="s">
        <v>1014</v>
      </c>
      <c r="D184" s="18" t="s">
        <v>732</v>
      </c>
      <c r="E184" s="61"/>
      <c r="F184" s="120"/>
    </row>
    <row r="185" spans="1:6" ht="50.5" customHeight="1" x14ac:dyDescent="0.35">
      <c r="A185" s="20" t="s">
        <v>1015</v>
      </c>
      <c r="B185" s="8" t="s">
        <v>611</v>
      </c>
      <c r="C185" s="8" t="s">
        <v>1016</v>
      </c>
      <c r="D185" s="8" t="s">
        <v>674</v>
      </c>
      <c r="E185" s="20" t="s">
        <v>533</v>
      </c>
      <c r="F185" s="8"/>
    </row>
    <row r="186" spans="1:6" ht="50.5" customHeight="1" x14ac:dyDescent="0.35">
      <c r="A186" s="20" t="s">
        <v>1017</v>
      </c>
      <c r="B186" s="8" t="s">
        <v>475</v>
      </c>
      <c r="C186" s="8" t="s">
        <v>1018</v>
      </c>
      <c r="D186" s="8" t="s">
        <v>796</v>
      </c>
      <c r="E186" s="8"/>
      <c r="F186" s="8"/>
    </row>
    <row r="187" spans="1:6" ht="50.5" customHeight="1" x14ac:dyDescent="0.35">
      <c r="A187" s="20" t="s">
        <v>1019</v>
      </c>
      <c r="B187" s="8" t="s">
        <v>475</v>
      </c>
      <c r="C187" s="8" t="s">
        <v>1020</v>
      </c>
      <c r="D187" s="8" t="s">
        <v>796</v>
      </c>
      <c r="E187" s="8"/>
      <c r="F187" s="8"/>
    </row>
    <row r="188" spans="1:6" ht="50.5" customHeight="1" x14ac:dyDescent="0.35">
      <c r="A188" s="20" t="s">
        <v>1021</v>
      </c>
      <c r="B188" s="8" t="s">
        <v>475</v>
      </c>
      <c r="C188" s="8" t="s">
        <v>1022</v>
      </c>
      <c r="D188" s="8" t="s">
        <v>796</v>
      </c>
      <c r="E188" s="8"/>
      <c r="F188" s="8"/>
    </row>
    <row r="189" spans="1:6" ht="50.5" customHeight="1" x14ac:dyDescent="0.35">
      <c r="A189" s="20" t="s">
        <v>1023</v>
      </c>
      <c r="B189" s="8" t="s">
        <v>530</v>
      </c>
      <c r="C189" s="8" t="s">
        <v>1024</v>
      </c>
      <c r="D189" s="50" t="s">
        <v>1025</v>
      </c>
      <c r="E189" s="8"/>
      <c r="F189" s="8" t="s">
        <v>1026</v>
      </c>
    </row>
    <row r="190" spans="1:6" ht="50.5" customHeight="1" x14ac:dyDescent="0.35">
      <c r="A190" s="20" t="s">
        <v>1027</v>
      </c>
      <c r="B190" s="8" t="s">
        <v>530</v>
      </c>
      <c r="C190" s="8" t="s">
        <v>1028</v>
      </c>
      <c r="D190" s="18" t="s">
        <v>905</v>
      </c>
      <c r="E190" s="8" t="s">
        <v>533</v>
      </c>
      <c r="F190" s="8" t="s">
        <v>1029</v>
      </c>
    </row>
    <row r="191" spans="1:6" ht="50.5" customHeight="1" x14ac:dyDescent="0.35">
      <c r="A191" s="20" t="s">
        <v>1030</v>
      </c>
      <c r="B191" s="8" t="s">
        <v>475</v>
      </c>
      <c r="C191" s="8" t="s">
        <v>1031</v>
      </c>
      <c r="D191" s="18" t="s">
        <v>991</v>
      </c>
      <c r="E191" s="8" t="s">
        <v>533</v>
      </c>
      <c r="F191" s="8"/>
    </row>
    <row r="192" spans="1:6" ht="50.5" customHeight="1" x14ac:dyDescent="0.35">
      <c r="A192" s="20" t="s">
        <v>1032</v>
      </c>
      <c r="B192" s="8" t="s">
        <v>530</v>
      </c>
      <c r="C192" s="8" t="s">
        <v>1033</v>
      </c>
      <c r="D192" s="50" t="s">
        <v>1034</v>
      </c>
      <c r="E192" s="8"/>
      <c r="F192" s="8" t="s">
        <v>1035</v>
      </c>
    </row>
    <row r="193" spans="1:6" ht="50.5" customHeight="1" x14ac:dyDescent="0.35">
      <c r="A193" s="20" t="s">
        <v>1036</v>
      </c>
      <c r="B193" s="8" t="s">
        <v>475</v>
      </c>
      <c r="C193" s="8" t="s">
        <v>1037</v>
      </c>
      <c r="D193" s="8" t="s">
        <v>674</v>
      </c>
      <c r="E193" s="8"/>
      <c r="F193" s="8"/>
    </row>
    <row r="194" spans="1:6" ht="50.5" customHeight="1" x14ac:dyDescent="0.35">
      <c r="A194" s="20" t="s">
        <v>1038</v>
      </c>
      <c r="B194" s="8" t="s">
        <v>495</v>
      </c>
      <c r="C194" s="8" t="s">
        <v>1039</v>
      </c>
      <c r="D194" s="18" t="s">
        <v>688</v>
      </c>
      <c r="E194" s="8"/>
      <c r="F194" s="8"/>
    </row>
    <row r="195" spans="1:6" ht="50.5" customHeight="1" x14ac:dyDescent="0.35">
      <c r="A195" s="20" t="s">
        <v>1040</v>
      </c>
      <c r="B195" s="8" t="s">
        <v>611</v>
      </c>
      <c r="C195" s="8" t="s">
        <v>1041</v>
      </c>
      <c r="D195" s="18" t="s">
        <v>688</v>
      </c>
      <c r="E195" s="8"/>
      <c r="F195" s="8"/>
    </row>
    <row r="196" spans="1:6" ht="50.5" customHeight="1" x14ac:dyDescent="0.35">
      <c r="A196" s="20" t="s">
        <v>1042</v>
      </c>
      <c r="B196" s="8" t="s">
        <v>535</v>
      </c>
      <c r="C196" s="8" t="s">
        <v>1043</v>
      </c>
      <c r="D196" s="18" t="s">
        <v>688</v>
      </c>
      <c r="E196" s="8"/>
      <c r="F196" s="8"/>
    </row>
    <row r="197" spans="1:6" ht="50.5" customHeight="1" x14ac:dyDescent="0.35">
      <c r="A197" s="20" t="s">
        <v>1044</v>
      </c>
      <c r="B197" s="8" t="s">
        <v>535</v>
      </c>
      <c r="C197" s="8" t="s">
        <v>1045</v>
      </c>
      <c r="D197" s="50" t="s">
        <v>905</v>
      </c>
      <c r="E197" s="8"/>
      <c r="F197" s="8"/>
    </row>
    <row r="198" spans="1:6" ht="50.5" customHeight="1" x14ac:dyDescent="0.35">
      <c r="A198" s="20" t="s">
        <v>1046</v>
      </c>
      <c r="B198" s="8" t="s">
        <v>475</v>
      </c>
      <c r="C198" s="8" t="s">
        <v>1047</v>
      </c>
      <c r="D198" s="18" t="s">
        <v>688</v>
      </c>
      <c r="E198" s="8"/>
      <c r="F198" s="8"/>
    </row>
    <row r="199" spans="1:6" ht="50.5" customHeight="1" x14ac:dyDescent="0.35">
      <c r="A199" s="20" t="s">
        <v>1048</v>
      </c>
      <c r="B199" s="8" t="s">
        <v>495</v>
      </c>
      <c r="C199" s="8" t="s">
        <v>1049</v>
      </c>
      <c r="D199" s="50" t="s">
        <v>905</v>
      </c>
      <c r="E199" s="8"/>
      <c r="F199" s="8"/>
    </row>
    <row r="200" spans="1:6" ht="50.5" customHeight="1" x14ac:dyDescent="0.35">
      <c r="A200" s="20" t="s">
        <v>1050</v>
      </c>
      <c r="B200" s="8" t="s">
        <v>475</v>
      </c>
      <c r="C200" s="18" t="s">
        <v>1051</v>
      </c>
      <c r="D200" s="18" t="s">
        <v>978</v>
      </c>
      <c r="E200" s="61"/>
      <c r="F200" s="120"/>
    </row>
    <row r="201" spans="1:6" ht="50.5" customHeight="1" x14ac:dyDescent="0.35">
      <c r="A201" s="20" t="s">
        <v>1052</v>
      </c>
      <c r="B201" s="8" t="s">
        <v>495</v>
      </c>
      <c r="C201" s="18" t="s">
        <v>1053</v>
      </c>
      <c r="D201" s="18" t="s">
        <v>978</v>
      </c>
      <c r="E201" s="61"/>
      <c r="F201" s="120"/>
    </row>
    <row r="202" spans="1:6" ht="50.5" customHeight="1" x14ac:dyDescent="0.35">
      <c r="A202" s="20" t="s">
        <v>1054</v>
      </c>
      <c r="B202" s="8" t="s">
        <v>530</v>
      </c>
      <c r="C202" s="8" t="s">
        <v>1055</v>
      </c>
      <c r="D202" s="18" t="s">
        <v>688</v>
      </c>
      <c r="E202" s="8"/>
      <c r="F202" s="8"/>
    </row>
    <row r="203" spans="1:6" ht="50.5" customHeight="1" x14ac:dyDescent="0.35">
      <c r="A203" s="20" t="s">
        <v>1056</v>
      </c>
      <c r="B203" s="8" t="s">
        <v>475</v>
      </c>
      <c r="C203" s="8" t="s">
        <v>1057</v>
      </c>
      <c r="D203" s="8" t="s">
        <v>796</v>
      </c>
      <c r="E203" s="8"/>
      <c r="F203" s="8"/>
    </row>
    <row r="204" spans="1:6" ht="50.5" customHeight="1" x14ac:dyDescent="0.35">
      <c r="A204" s="20" t="s">
        <v>1058</v>
      </c>
      <c r="B204" s="8" t="s">
        <v>495</v>
      </c>
      <c r="C204" s="8" t="s">
        <v>1059</v>
      </c>
      <c r="D204" s="8" t="s">
        <v>674</v>
      </c>
      <c r="E204" s="8"/>
      <c r="F204" s="8"/>
    </row>
    <row r="205" spans="1:6" ht="50.5" customHeight="1" x14ac:dyDescent="0.35">
      <c r="A205" s="20" t="s">
        <v>1060</v>
      </c>
      <c r="B205" s="8" t="s">
        <v>475</v>
      </c>
      <c r="C205" s="8" t="s">
        <v>1061</v>
      </c>
      <c r="D205" s="8" t="s">
        <v>674</v>
      </c>
      <c r="E205" s="8"/>
      <c r="F205" s="8"/>
    </row>
    <row r="206" spans="1:6" ht="50.5" customHeight="1" x14ac:dyDescent="0.35">
      <c r="A206" s="20" t="s">
        <v>1062</v>
      </c>
      <c r="B206" s="8" t="s">
        <v>572</v>
      </c>
      <c r="C206" s="8" t="s">
        <v>1063</v>
      </c>
      <c r="D206" s="18" t="s">
        <v>688</v>
      </c>
      <c r="E206" s="8"/>
      <c r="F206" s="8"/>
    </row>
    <row r="207" spans="1:6" ht="50.5" customHeight="1" x14ac:dyDescent="0.35">
      <c r="A207" s="20" t="s">
        <v>1064</v>
      </c>
      <c r="B207" s="8" t="s">
        <v>535</v>
      </c>
      <c r="C207" s="8" t="s">
        <v>1065</v>
      </c>
      <c r="D207" s="18" t="s">
        <v>1066</v>
      </c>
      <c r="E207" s="8"/>
      <c r="F207" s="8"/>
    </row>
    <row r="208" spans="1:6" ht="50.5" customHeight="1" x14ac:dyDescent="0.35">
      <c r="A208" s="20" t="s">
        <v>1067</v>
      </c>
      <c r="B208" s="8" t="s">
        <v>475</v>
      </c>
      <c r="C208" s="8" t="s">
        <v>1068</v>
      </c>
      <c r="D208" s="8" t="s">
        <v>796</v>
      </c>
      <c r="E208" s="20" t="s">
        <v>533</v>
      </c>
      <c r="F208" s="8"/>
    </row>
    <row r="209" spans="1:6" ht="50.5" customHeight="1" x14ac:dyDescent="0.35">
      <c r="A209" s="20" t="s">
        <v>1069</v>
      </c>
      <c r="B209" s="8" t="s">
        <v>561</v>
      </c>
      <c r="C209" s="8" t="s">
        <v>1070</v>
      </c>
      <c r="D209" s="8" t="s">
        <v>674</v>
      </c>
      <c r="E209" s="8"/>
      <c r="F209" s="8"/>
    </row>
    <row r="210" spans="1:6" ht="50.5" customHeight="1" x14ac:dyDescent="0.35">
      <c r="A210" s="20" t="s">
        <v>1071</v>
      </c>
      <c r="B210" s="8" t="s">
        <v>561</v>
      </c>
      <c r="C210" s="8" t="s">
        <v>1072</v>
      </c>
      <c r="D210" s="8" t="s">
        <v>674</v>
      </c>
      <c r="E210" s="8"/>
      <c r="F210" s="8"/>
    </row>
    <row r="211" spans="1:6" ht="50.5" customHeight="1" x14ac:dyDescent="0.35">
      <c r="A211" s="20" t="s">
        <v>1073</v>
      </c>
      <c r="B211" s="8" t="s">
        <v>535</v>
      </c>
      <c r="C211" s="8" t="s">
        <v>1074</v>
      </c>
      <c r="D211" s="8" t="s">
        <v>825</v>
      </c>
      <c r="E211" s="8"/>
      <c r="F211" s="8"/>
    </row>
    <row r="212" spans="1:6" ht="50.5" customHeight="1" x14ac:dyDescent="0.35">
      <c r="A212" s="20" t="s">
        <v>1075</v>
      </c>
      <c r="B212" s="8" t="s">
        <v>475</v>
      </c>
      <c r="C212" s="8" t="s">
        <v>1076</v>
      </c>
      <c r="D212" s="8" t="s">
        <v>1077</v>
      </c>
      <c r="E212" s="8"/>
      <c r="F212" s="8"/>
    </row>
    <row r="213" spans="1:6" ht="50.5" customHeight="1" x14ac:dyDescent="0.35">
      <c r="A213" s="20" t="s">
        <v>1078</v>
      </c>
      <c r="B213" s="8" t="s">
        <v>530</v>
      </c>
      <c r="C213" s="8" t="s">
        <v>1079</v>
      </c>
      <c r="D213" s="18" t="s">
        <v>991</v>
      </c>
      <c r="E213" s="8"/>
      <c r="F213" s="8"/>
    </row>
    <row r="214" spans="1:6" ht="50.5" customHeight="1" x14ac:dyDescent="0.35">
      <c r="A214" s="20" t="s">
        <v>1080</v>
      </c>
      <c r="B214" s="8" t="s">
        <v>475</v>
      </c>
      <c r="C214" s="8" t="s">
        <v>1081</v>
      </c>
      <c r="D214" s="50" t="s">
        <v>796</v>
      </c>
      <c r="E214" s="8"/>
      <c r="F214" s="8"/>
    </row>
    <row r="215" spans="1:6" ht="50.5" customHeight="1" x14ac:dyDescent="0.35">
      <c r="A215" s="20" t="s">
        <v>1082</v>
      </c>
      <c r="B215" s="8" t="s">
        <v>475</v>
      </c>
      <c r="C215" s="8" t="s">
        <v>1083</v>
      </c>
      <c r="D215" s="8" t="s">
        <v>825</v>
      </c>
      <c r="E215" s="8"/>
      <c r="F215" s="8"/>
    </row>
    <row r="216" spans="1:6" ht="50.5" customHeight="1" x14ac:dyDescent="0.35">
      <c r="A216" s="20" t="s">
        <v>1084</v>
      </c>
      <c r="B216" s="8" t="s">
        <v>535</v>
      </c>
      <c r="C216" s="8" t="s">
        <v>1085</v>
      </c>
      <c r="D216" s="8" t="s">
        <v>674</v>
      </c>
      <c r="E216" s="8"/>
      <c r="F216" s="8"/>
    </row>
    <row r="217" spans="1:6" ht="50.5" customHeight="1" x14ac:dyDescent="0.35">
      <c r="A217" s="20" t="s">
        <v>1086</v>
      </c>
      <c r="B217" s="8" t="s">
        <v>475</v>
      </c>
      <c r="C217" s="8" t="s">
        <v>1087</v>
      </c>
      <c r="D217" s="8" t="s">
        <v>825</v>
      </c>
      <c r="E217" s="8"/>
      <c r="F217" s="8"/>
    </row>
    <row r="218" spans="1:6" ht="50.5" customHeight="1" x14ac:dyDescent="0.35">
      <c r="A218" s="20" t="s">
        <v>1088</v>
      </c>
      <c r="B218" s="8" t="s">
        <v>475</v>
      </c>
      <c r="C218" s="8" t="s">
        <v>1089</v>
      </c>
      <c r="D218" s="18" t="s">
        <v>1066</v>
      </c>
      <c r="E218" s="8"/>
      <c r="F218" s="8"/>
    </row>
    <row r="219" spans="1:6" ht="50.5" customHeight="1" x14ac:dyDescent="0.35">
      <c r="A219" s="20" t="s">
        <v>1090</v>
      </c>
      <c r="B219" s="8" t="s">
        <v>535</v>
      </c>
      <c r="C219" s="8" t="s">
        <v>1091</v>
      </c>
      <c r="D219" s="50" t="s">
        <v>905</v>
      </c>
      <c r="E219" s="8"/>
      <c r="F219" s="8"/>
    </row>
    <row r="220" spans="1:6" ht="50.5" customHeight="1" x14ac:dyDescent="0.35">
      <c r="A220" s="20" t="s">
        <v>1092</v>
      </c>
      <c r="B220" s="8" t="s">
        <v>475</v>
      </c>
      <c r="C220" s="8" t="s">
        <v>1093</v>
      </c>
      <c r="D220" s="8" t="s">
        <v>796</v>
      </c>
      <c r="E220" s="8"/>
      <c r="F220" s="8"/>
    </row>
    <row r="221" spans="1:6" ht="50.5" customHeight="1" x14ac:dyDescent="0.35">
      <c r="A221" s="20" t="s">
        <v>1094</v>
      </c>
      <c r="B221" s="8" t="s">
        <v>535</v>
      </c>
      <c r="C221" s="8" t="s">
        <v>1095</v>
      </c>
      <c r="D221" s="18" t="s">
        <v>991</v>
      </c>
      <c r="E221" s="8"/>
      <c r="F221" s="8"/>
    </row>
    <row r="222" spans="1:6" ht="50.5" customHeight="1" x14ac:dyDescent="0.35">
      <c r="A222" s="20" t="s">
        <v>1096</v>
      </c>
      <c r="B222" s="8" t="s">
        <v>535</v>
      </c>
      <c r="C222" s="8" t="s">
        <v>1097</v>
      </c>
      <c r="D222" s="8" t="s">
        <v>674</v>
      </c>
      <c r="E222" s="8"/>
      <c r="F222" s="8"/>
    </row>
    <row r="223" spans="1:6" ht="50.5" customHeight="1" x14ac:dyDescent="0.35">
      <c r="A223" s="20" t="s">
        <v>1098</v>
      </c>
      <c r="B223" s="8" t="s">
        <v>543</v>
      </c>
      <c r="C223" s="8" t="s">
        <v>1099</v>
      </c>
      <c r="D223" s="50" t="s">
        <v>905</v>
      </c>
      <c r="E223" s="8" t="s">
        <v>533</v>
      </c>
      <c r="F223" s="8"/>
    </row>
    <row r="224" spans="1:6" ht="50.5" customHeight="1" x14ac:dyDescent="0.35">
      <c r="A224" s="20" t="s">
        <v>1100</v>
      </c>
      <c r="B224" s="8" t="s">
        <v>475</v>
      </c>
      <c r="C224" s="8" t="s">
        <v>1101</v>
      </c>
      <c r="D224" s="50" t="s">
        <v>905</v>
      </c>
      <c r="E224" s="8"/>
      <c r="F224" s="8"/>
    </row>
    <row r="225" spans="1:6" ht="50.5" customHeight="1" x14ac:dyDescent="0.35">
      <c r="A225" s="20" t="s">
        <v>1102</v>
      </c>
      <c r="B225" s="8" t="s">
        <v>475</v>
      </c>
      <c r="C225" s="8" t="s">
        <v>1103</v>
      </c>
      <c r="D225" s="18" t="s">
        <v>991</v>
      </c>
      <c r="E225" s="8"/>
      <c r="F225" s="8"/>
    </row>
    <row r="226" spans="1:6" ht="50.5" customHeight="1" x14ac:dyDescent="0.35">
      <c r="A226" s="20" t="s">
        <v>1104</v>
      </c>
      <c r="B226" s="8" t="s">
        <v>535</v>
      </c>
      <c r="C226" s="8" t="s">
        <v>1105</v>
      </c>
      <c r="D226" s="8" t="s">
        <v>796</v>
      </c>
      <c r="E226" s="8"/>
      <c r="F226" s="8"/>
    </row>
    <row r="227" spans="1:6" ht="50.5" customHeight="1" x14ac:dyDescent="0.35">
      <c r="A227" s="20" t="s">
        <v>1106</v>
      </c>
      <c r="B227" s="8" t="s">
        <v>572</v>
      </c>
      <c r="C227" s="8" t="s">
        <v>1107</v>
      </c>
      <c r="D227" s="18" t="s">
        <v>1108</v>
      </c>
      <c r="E227" s="8"/>
      <c r="F227" s="8"/>
    </row>
    <row r="228" spans="1:6" ht="50.5" customHeight="1" x14ac:dyDescent="0.35">
      <c r="A228" s="20" t="s">
        <v>1109</v>
      </c>
      <c r="B228" s="8" t="s">
        <v>535</v>
      </c>
      <c r="C228" s="8" t="s">
        <v>1110</v>
      </c>
      <c r="D228" s="50" t="s">
        <v>905</v>
      </c>
      <c r="E228" s="8" t="s">
        <v>533</v>
      </c>
      <c r="F228" s="8"/>
    </row>
    <row r="229" spans="1:6" ht="50.5" customHeight="1" x14ac:dyDescent="0.35">
      <c r="A229" s="20" t="s">
        <v>1111</v>
      </c>
      <c r="B229" s="8" t="s">
        <v>495</v>
      </c>
      <c r="C229" s="8" t="s">
        <v>1112</v>
      </c>
      <c r="D229" s="8" t="s">
        <v>825</v>
      </c>
      <c r="E229" s="8"/>
      <c r="F229" s="8"/>
    </row>
    <row r="230" spans="1:6" ht="50.5" customHeight="1" x14ac:dyDescent="0.35">
      <c r="A230" s="20" t="s">
        <v>1113</v>
      </c>
      <c r="B230" s="8" t="s">
        <v>475</v>
      </c>
      <c r="C230" s="8" t="s">
        <v>1114</v>
      </c>
      <c r="D230" s="8" t="s">
        <v>796</v>
      </c>
      <c r="E230" s="8"/>
      <c r="F230" s="8"/>
    </row>
    <row r="231" spans="1:6" ht="50.5" customHeight="1" x14ac:dyDescent="0.35">
      <c r="A231" s="20" t="s">
        <v>1115</v>
      </c>
      <c r="B231" s="8" t="s">
        <v>475</v>
      </c>
      <c r="C231" s="8" t="s">
        <v>1116</v>
      </c>
      <c r="D231" s="8" t="s">
        <v>796</v>
      </c>
      <c r="E231" s="20" t="s">
        <v>533</v>
      </c>
      <c r="F231" s="8"/>
    </row>
    <row r="232" spans="1:6" ht="50.5" customHeight="1" x14ac:dyDescent="0.35">
      <c r="A232" s="20" t="s">
        <v>1117</v>
      </c>
      <c r="B232" s="8" t="s">
        <v>495</v>
      </c>
      <c r="C232" s="8" t="s">
        <v>1118</v>
      </c>
      <c r="D232" s="8" t="s">
        <v>825</v>
      </c>
      <c r="E232" s="8"/>
      <c r="F232" s="8"/>
    </row>
    <row r="233" spans="1:6" ht="50.5" customHeight="1" x14ac:dyDescent="0.35">
      <c r="A233" s="20" t="s">
        <v>1119</v>
      </c>
      <c r="B233" s="8" t="s">
        <v>495</v>
      </c>
      <c r="C233" s="8" t="s">
        <v>1120</v>
      </c>
      <c r="D233" s="8" t="s">
        <v>825</v>
      </c>
      <c r="E233" s="8"/>
      <c r="F233" s="8"/>
    </row>
    <row r="234" spans="1:6" ht="50.5" customHeight="1" x14ac:dyDescent="0.35">
      <c r="A234" s="20" t="s">
        <v>1121</v>
      </c>
      <c r="B234" s="8" t="s">
        <v>495</v>
      </c>
      <c r="C234" s="8" t="s">
        <v>1122</v>
      </c>
      <c r="D234" s="8" t="s">
        <v>825</v>
      </c>
      <c r="E234" s="8"/>
      <c r="F234" s="8"/>
    </row>
    <row r="235" spans="1:6" ht="50.5" customHeight="1" x14ac:dyDescent="0.35">
      <c r="A235" s="20" t="s">
        <v>1123</v>
      </c>
      <c r="B235" s="8" t="s">
        <v>543</v>
      </c>
      <c r="C235" s="8" t="s">
        <v>1124</v>
      </c>
      <c r="D235" s="8" t="s">
        <v>796</v>
      </c>
      <c r="E235" s="20" t="s">
        <v>533</v>
      </c>
      <c r="F235" s="8"/>
    </row>
    <row r="236" spans="1:6" ht="50.5" customHeight="1" x14ac:dyDescent="0.35">
      <c r="A236" s="20" t="s">
        <v>1125</v>
      </c>
      <c r="B236" s="8" t="s">
        <v>475</v>
      </c>
      <c r="C236" s="8" t="s">
        <v>1126</v>
      </c>
      <c r="D236" s="8" t="s">
        <v>796</v>
      </c>
      <c r="E236" s="8"/>
      <c r="F236" s="8"/>
    </row>
    <row r="237" spans="1:6" ht="50.5" customHeight="1" x14ac:dyDescent="0.35">
      <c r="A237" s="20" t="s">
        <v>1127</v>
      </c>
      <c r="B237" s="8" t="s">
        <v>475</v>
      </c>
      <c r="C237" s="8" t="s">
        <v>1128</v>
      </c>
      <c r="D237" s="8" t="s">
        <v>1129</v>
      </c>
      <c r="E237" s="8" t="s">
        <v>533</v>
      </c>
      <c r="F237" s="8"/>
    </row>
    <row r="238" spans="1:6" ht="50.5" customHeight="1" x14ac:dyDescent="0.35">
      <c r="A238" s="20" t="s">
        <v>1130</v>
      </c>
      <c r="B238" s="8" t="s">
        <v>535</v>
      </c>
      <c r="C238" s="8" t="s">
        <v>1131</v>
      </c>
      <c r="D238" s="18" t="s">
        <v>991</v>
      </c>
      <c r="E238" s="8" t="s">
        <v>533</v>
      </c>
      <c r="F238" s="8"/>
    </row>
    <row r="239" spans="1:6" ht="50.5" customHeight="1" x14ac:dyDescent="0.35">
      <c r="A239" s="20" t="s">
        <v>1132</v>
      </c>
      <c r="B239" s="8" t="s">
        <v>535</v>
      </c>
      <c r="C239" s="8" t="s">
        <v>1133</v>
      </c>
      <c r="D239" s="8" t="s">
        <v>796</v>
      </c>
      <c r="E239" s="8"/>
      <c r="F239" s="8"/>
    </row>
    <row r="240" spans="1:6" ht="50.5" customHeight="1" x14ac:dyDescent="0.35">
      <c r="A240" s="20" t="s">
        <v>1134</v>
      </c>
      <c r="B240" s="8" t="s">
        <v>530</v>
      </c>
      <c r="C240" s="8" t="s">
        <v>1135</v>
      </c>
      <c r="D240" s="50" t="s">
        <v>905</v>
      </c>
      <c r="E240" s="8" t="s">
        <v>533</v>
      </c>
      <c r="F240" s="8"/>
    </row>
    <row r="241" spans="1:6" ht="50.5" customHeight="1" x14ac:dyDescent="0.35">
      <c r="A241" s="20" t="s">
        <v>1136</v>
      </c>
      <c r="B241" s="8" t="s">
        <v>535</v>
      </c>
      <c r="C241" s="8" t="s">
        <v>1137</v>
      </c>
      <c r="D241" s="50" t="s">
        <v>822</v>
      </c>
      <c r="E241" s="8"/>
      <c r="F241" s="8"/>
    </row>
    <row r="242" spans="1:6" ht="50.5" customHeight="1" x14ac:dyDescent="0.35">
      <c r="A242" s="20" t="s">
        <v>1138</v>
      </c>
      <c r="B242" s="8" t="s">
        <v>535</v>
      </c>
      <c r="C242" s="8" t="s">
        <v>1139</v>
      </c>
      <c r="D242" s="8" t="s">
        <v>796</v>
      </c>
      <c r="E242" s="8"/>
      <c r="F242" s="8"/>
    </row>
    <row r="243" spans="1:6" ht="50.5" customHeight="1" x14ac:dyDescent="0.35">
      <c r="A243" s="20" t="s">
        <v>1140</v>
      </c>
      <c r="B243" s="8" t="s">
        <v>495</v>
      </c>
      <c r="C243" s="8" t="s">
        <v>1141</v>
      </c>
      <c r="D243" s="18" t="s">
        <v>991</v>
      </c>
      <c r="E243" s="8"/>
      <c r="F243" s="8"/>
    </row>
    <row r="244" spans="1:6" ht="50.5" customHeight="1" x14ac:dyDescent="0.35">
      <c r="A244" s="20" t="s">
        <v>1142</v>
      </c>
      <c r="B244" s="8" t="s">
        <v>535</v>
      </c>
      <c r="C244" s="8" t="s">
        <v>1143</v>
      </c>
      <c r="D244" s="8" t="s">
        <v>796</v>
      </c>
      <c r="E244" s="8"/>
      <c r="F244" s="8"/>
    </row>
    <row r="245" spans="1:6" ht="50.5" customHeight="1" x14ac:dyDescent="0.35">
      <c r="A245" s="20" t="s">
        <v>1144</v>
      </c>
      <c r="B245" s="8" t="s">
        <v>535</v>
      </c>
      <c r="C245" s="8" t="s">
        <v>1145</v>
      </c>
      <c r="D245" s="50" t="s">
        <v>1146</v>
      </c>
      <c r="E245" s="8"/>
      <c r="F245" s="8"/>
    </row>
    <row r="246" spans="1:6" ht="50.5" customHeight="1" x14ac:dyDescent="0.35">
      <c r="A246" s="20" t="s">
        <v>1147</v>
      </c>
      <c r="B246" s="8" t="s">
        <v>535</v>
      </c>
      <c r="C246" s="8" t="s">
        <v>1148</v>
      </c>
      <c r="D246" s="18" t="s">
        <v>991</v>
      </c>
      <c r="E246" s="8"/>
      <c r="F246" s="8"/>
    </row>
    <row r="247" spans="1:6" ht="50.5" customHeight="1" x14ac:dyDescent="0.35">
      <c r="A247" s="20" t="s">
        <v>1149</v>
      </c>
      <c r="B247" s="8" t="s">
        <v>535</v>
      </c>
      <c r="C247" s="8" t="s">
        <v>1150</v>
      </c>
      <c r="D247" s="18" t="s">
        <v>991</v>
      </c>
      <c r="E247" s="8"/>
      <c r="F247" s="8"/>
    </row>
    <row r="248" spans="1:6" ht="50.5" customHeight="1" x14ac:dyDescent="0.35">
      <c r="A248" s="20" t="s">
        <v>1151</v>
      </c>
      <c r="B248" s="8" t="s">
        <v>535</v>
      </c>
      <c r="C248" s="8" t="s">
        <v>1152</v>
      </c>
      <c r="D248" s="50" t="s">
        <v>905</v>
      </c>
      <c r="E248" s="8" t="s">
        <v>533</v>
      </c>
      <c r="F248" s="8"/>
    </row>
    <row r="249" spans="1:6" ht="50.5" customHeight="1" x14ac:dyDescent="0.35">
      <c r="A249" s="20" t="s">
        <v>1153</v>
      </c>
      <c r="B249" s="8" t="s">
        <v>530</v>
      </c>
      <c r="C249" s="8" t="s">
        <v>1154</v>
      </c>
      <c r="D249" s="18" t="s">
        <v>991</v>
      </c>
      <c r="E249" s="8"/>
      <c r="F249" s="8"/>
    </row>
    <row r="250" spans="1:6" ht="50.5" customHeight="1" x14ac:dyDescent="0.35">
      <c r="A250" s="20" t="s">
        <v>1155</v>
      </c>
      <c r="B250" s="8" t="s">
        <v>495</v>
      </c>
      <c r="C250" s="8" t="s">
        <v>1156</v>
      </c>
      <c r="D250" s="50" t="s">
        <v>905</v>
      </c>
      <c r="E250" s="8" t="s">
        <v>533</v>
      </c>
      <c r="F250" s="8"/>
    </row>
    <row r="251" spans="1:6" ht="50.5" customHeight="1" x14ac:dyDescent="0.35">
      <c r="A251" s="20" t="s">
        <v>1157</v>
      </c>
      <c r="B251" s="8" t="s">
        <v>495</v>
      </c>
      <c r="C251" s="8" t="s">
        <v>1158</v>
      </c>
      <c r="D251" s="50" t="s">
        <v>1159</v>
      </c>
      <c r="E251" s="8" t="s">
        <v>533</v>
      </c>
      <c r="F251" s="18" t="s">
        <v>1160</v>
      </c>
    </row>
    <row r="252" spans="1:6" ht="50.5" customHeight="1" x14ac:dyDescent="0.35">
      <c r="A252" s="20" t="s">
        <v>1161</v>
      </c>
      <c r="B252" s="8" t="s">
        <v>535</v>
      </c>
      <c r="C252" s="8" t="s">
        <v>1162</v>
      </c>
      <c r="D252" s="50" t="s">
        <v>905</v>
      </c>
      <c r="E252" s="8"/>
      <c r="F252" s="8"/>
    </row>
    <row r="253" spans="1:6" ht="50.5" customHeight="1" x14ac:dyDescent="0.35">
      <c r="A253" s="20" t="s">
        <v>1163</v>
      </c>
      <c r="B253" s="8" t="s">
        <v>495</v>
      </c>
      <c r="C253" s="8" t="s">
        <v>1164</v>
      </c>
      <c r="D253" s="8" t="s">
        <v>796</v>
      </c>
      <c r="E253" s="8"/>
      <c r="F253" s="8"/>
    </row>
    <row r="254" spans="1:6" ht="50.5" customHeight="1" x14ac:dyDescent="0.35">
      <c r="A254" s="90" t="s">
        <v>1165</v>
      </c>
      <c r="B254" s="93" t="s">
        <v>580</v>
      </c>
      <c r="C254" s="93" t="s">
        <v>1166</v>
      </c>
      <c r="D254" s="18" t="s">
        <v>1167</v>
      </c>
      <c r="E254" s="93"/>
      <c r="F254" s="93" t="s">
        <v>1168</v>
      </c>
    </row>
    <row r="255" spans="1:6" ht="50.5" customHeight="1" x14ac:dyDescent="0.35">
      <c r="A255" s="20" t="s">
        <v>1169</v>
      </c>
      <c r="B255" s="8" t="s">
        <v>495</v>
      </c>
      <c r="C255" s="8" t="s">
        <v>1170</v>
      </c>
      <c r="D255" s="8" t="s">
        <v>796</v>
      </c>
      <c r="E255" s="8"/>
      <c r="F255" s="8"/>
    </row>
    <row r="256" spans="1:6" ht="50.5" customHeight="1" x14ac:dyDescent="0.35">
      <c r="A256" s="20" t="s">
        <v>1171</v>
      </c>
      <c r="B256" s="8" t="s">
        <v>495</v>
      </c>
      <c r="C256" s="8" t="s">
        <v>1172</v>
      </c>
      <c r="D256" s="8" t="s">
        <v>796</v>
      </c>
      <c r="E256" s="8"/>
      <c r="F256" s="8"/>
    </row>
    <row r="257" spans="1:6" ht="50.5" customHeight="1" x14ac:dyDescent="0.35">
      <c r="A257" s="20" t="s">
        <v>1173</v>
      </c>
      <c r="B257" s="8" t="s">
        <v>535</v>
      </c>
      <c r="C257" s="8" t="s">
        <v>1174</v>
      </c>
      <c r="D257" s="18" t="s">
        <v>991</v>
      </c>
      <c r="E257" s="8"/>
      <c r="F257" s="8" t="s">
        <v>1175</v>
      </c>
    </row>
    <row r="258" spans="1:6" ht="50.5" customHeight="1" x14ac:dyDescent="0.35">
      <c r="A258" s="20" t="s">
        <v>1176</v>
      </c>
      <c r="B258" s="8" t="s">
        <v>495</v>
      </c>
      <c r="C258" s="8" t="s">
        <v>1177</v>
      </c>
      <c r="D258" s="8" t="s">
        <v>796</v>
      </c>
      <c r="E258" s="8"/>
      <c r="F258" s="8"/>
    </row>
    <row r="259" spans="1:6" ht="50.5" customHeight="1" x14ac:dyDescent="0.35">
      <c r="A259" s="20" t="s">
        <v>1178</v>
      </c>
      <c r="B259" s="8" t="s">
        <v>495</v>
      </c>
      <c r="C259" s="8" t="s">
        <v>1179</v>
      </c>
      <c r="D259" s="18" t="s">
        <v>1180</v>
      </c>
      <c r="E259" s="8" t="s">
        <v>533</v>
      </c>
      <c r="F259" s="8" t="s">
        <v>1181</v>
      </c>
    </row>
    <row r="260" spans="1:6" ht="50.5" customHeight="1" x14ac:dyDescent="0.35">
      <c r="A260" s="20" t="s">
        <v>1182</v>
      </c>
      <c r="B260" s="8" t="s">
        <v>495</v>
      </c>
      <c r="C260" s="8" t="s">
        <v>1183</v>
      </c>
      <c r="D260" s="8" t="s">
        <v>796</v>
      </c>
      <c r="E260" s="8"/>
      <c r="F260" s="8"/>
    </row>
    <row r="261" spans="1:6" ht="50.5" customHeight="1" x14ac:dyDescent="0.35">
      <c r="A261" s="20" t="s">
        <v>1184</v>
      </c>
      <c r="B261" s="8" t="s">
        <v>495</v>
      </c>
      <c r="C261" s="8" t="s">
        <v>1185</v>
      </c>
      <c r="D261" s="50" t="s">
        <v>905</v>
      </c>
      <c r="E261" s="8" t="s">
        <v>533</v>
      </c>
      <c r="F261" s="8"/>
    </row>
    <row r="262" spans="1:6" ht="76" customHeight="1" x14ac:dyDescent="0.35">
      <c r="A262" s="20" t="s">
        <v>1186</v>
      </c>
      <c r="B262" s="8" t="s">
        <v>495</v>
      </c>
      <c r="C262" s="8" t="s">
        <v>1187</v>
      </c>
      <c r="D262" s="104" t="s">
        <v>1188</v>
      </c>
      <c r="E262" s="8"/>
      <c r="F262" s="8"/>
    </row>
    <row r="263" spans="1:6" ht="50.5" customHeight="1" x14ac:dyDescent="0.35">
      <c r="A263" s="20" t="s">
        <v>1189</v>
      </c>
      <c r="B263" s="8" t="s">
        <v>535</v>
      </c>
      <c r="C263" s="8" t="s">
        <v>1190</v>
      </c>
      <c r="D263" s="18" t="s">
        <v>1191</v>
      </c>
      <c r="E263" s="8"/>
      <c r="F263" s="8"/>
    </row>
    <row r="264" spans="1:6" ht="50.5" customHeight="1" x14ac:dyDescent="0.35">
      <c r="A264" s="20" t="s">
        <v>1192</v>
      </c>
      <c r="B264" s="8" t="s">
        <v>475</v>
      </c>
      <c r="C264" s="8" t="s">
        <v>1193</v>
      </c>
      <c r="D264" s="18" t="s">
        <v>991</v>
      </c>
      <c r="E264" s="8"/>
      <c r="F264" s="8"/>
    </row>
    <row r="265" spans="1:6" ht="50.5" customHeight="1" x14ac:dyDescent="0.35">
      <c r="A265" s="20" t="s">
        <v>1194</v>
      </c>
      <c r="B265" s="8" t="s">
        <v>475</v>
      </c>
      <c r="C265" s="8" t="s">
        <v>1195</v>
      </c>
      <c r="D265" s="8" t="s">
        <v>796</v>
      </c>
      <c r="E265" s="8"/>
      <c r="F265" s="8"/>
    </row>
    <row r="266" spans="1:6" ht="50.5" customHeight="1" x14ac:dyDescent="0.35">
      <c r="A266" s="20" t="s">
        <v>1196</v>
      </c>
      <c r="B266" s="8" t="s">
        <v>475</v>
      </c>
      <c r="C266" s="8" t="s">
        <v>1197</v>
      </c>
      <c r="D266" s="18" t="s">
        <v>991</v>
      </c>
      <c r="E266" s="8"/>
      <c r="F266" s="8"/>
    </row>
    <row r="267" spans="1:6" ht="50.5" customHeight="1" x14ac:dyDescent="0.35">
      <c r="A267" s="20" t="s">
        <v>1198</v>
      </c>
      <c r="B267" s="8" t="s">
        <v>495</v>
      </c>
      <c r="C267" s="8" t="s">
        <v>1199</v>
      </c>
      <c r="D267" s="8" t="s">
        <v>796</v>
      </c>
      <c r="E267" s="8"/>
      <c r="F267" s="8"/>
    </row>
    <row r="268" spans="1:6" ht="50.5" customHeight="1" x14ac:dyDescent="0.35">
      <c r="A268" s="20" t="s">
        <v>1200</v>
      </c>
      <c r="B268" s="8" t="s">
        <v>535</v>
      </c>
      <c r="C268" s="8" t="s">
        <v>1201</v>
      </c>
      <c r="D268" s="18" t="s">
        <v>991</v>
      </c>
      <c r="E268" s="8"/>
      <c r="F268" s="8"/>
    </row>
    <row r="269" spans="1:6" ht="50.5" customHeight="1" x14ac:dyDescent="0.35">
      <c r="A269" s="20" t="s">
        <v>1202</v>
      </c>
      <c r="B269" s="8" t="s">
        <v>475</v>
      </c>
      <c r="C269" s="8" t="s">
        <v>1203</v>
      </c>
      <c r="D269" s="50" t="s">
        <v>1034</v>
      </c>
      <c r="E269" s="8"/>
      <c r="F269" s="8" t="s">
        <v>1204</v>
      </c>
    </row>
    <row r="270" spans="1:6" ht="50.5" customHeight="1" x14ac:dyDescent="0.35">
      <c r="A270" s="20" t="s">
        <v>1205</v>
      </c>
      <c r="B270" s="8" t="s">
        <v>475</v>
      </c>
      <c r="C270" s="8" t="s">
        <v>1206</v>
      </c>
      <c r="D270" s="50" t="s">
        <v>1207</v>
      </c>
      <c r="E270" s="8"/>
      <c r="F270" s="8"/>
    </row>
    <row r="271" spans="1:6" ht="50.5" customHeight="1" x14ac:dyDescent="0.35">
      <c r="A271" s="20" t="s">
        <v>1208</v>
      </c>
      <c r="B271" s="8" t="s">
        <v>535</v>
      </c>
      <c r="C271" s="8" t="s">
        <v>1209</v>
      </c>
      <c r="D271" s="8" t="s">
        <v>1210</v>
      </c>
      <c r="E271" s="8"/>
      <c r="F271" s="8"/>
    </row>
    <row r="272" spans="1:6" ht="50.5" customHeight="1" x14ac:dyDescent="0.35">
      <c r="A272" s="20" t="s">
        <v>1211</v>
      </c>
      <c r="B272" s="8" t="s">
        <v>475</v>
      </c>
      <c r="C272" s="8" t="s">
        <v>1212</v>
      </c>
      <c r="D272" s="50" t="s">
        <v>1213</v>
      </c>
      <c r="E272" s="8"/>
      <c r="F272" s="8"/>
    </row>
    <row r="273" spans="1:6" ht="50.5" customHeight="1" x14ac:dyDescent="0.35">
      <c r="A273" s="20" t="s">
        <v>1214</v>
      </c>
      <c r="B273" s="8" t="s">
        <v>535</v>
      </c>
      <c r="C273" s="8" t="s">
        <v>1215</v>
      </c>
      <c r="D273" s="18" t="s">
        <v>1216</v>
      </c>
      <c r="E273" s="8" t="s">
        <v>533</v>
      </c>
      <c r="F273" s="8"/>
    </row>
    <row r="274" spans="1:6" s="29" customFormat="1" ht="50.5" customHeight="1" x14ac:dyDescent="0.35">
      <c r="A274" s="20" t="s">
        <v>1217</v>
      </c>
      <c r="B274" s="8" t="s">
        <v>495</v>
      </c>
      <c r="C274" s="8" t="s">
        <v>1218</v>
      </c>
      <c r="D274" s="8" t="s">
        <v>1077</v>
      </c>
      <c r="E274" s="8"/>
      <c r="F274" s="8"/>
    </row>
    <row r="275" spans="1:6" s="29" customFormat="1" ht="50.5" customHeight="1" x14ac:dyDescent="0.35">
      <c r="A275" s="20" t="s">
        <v>1219</v>
      </c>
      <c r="B275" s="8" t="s">
        <v>495</v>
      </c>
      <c r="C275" s="8" t="s">
        <v>1220</v>
      </c>
      <c r="D275" s="18" t="s">
        <v>991</v>
      </c>
      <c r="E275" s="8"/>
      <c r="F275" s="8"/>
    </row>
    <row r="276" spans="1:6" s="29" customFormat="1" ht="50.5" customHeight="1" x14ac:dyDescent="0.35">
      <c r="A276" s="20" t="s">
        <v>1221</v>
      </c>
      <c r="B276" s="8" t="s">
        <v>572</v>
      </c>
      <c r="C276" s="8" t="s">
        <v>1222</v>
      </c>
      <c r="D276" s="20" t="s">
        <v>1223</v>
      </c>
      <c r="E276" s="8"/>
      <c r="F276" s="8"/>
    </row>
    <row r="277" spans="1:6" s="29" customFormat="1" ht="50.5" customHeight="1" x14ac:dyDescent="0.35">
      <c r="A277" s="20" t="s">
        <v>1224</v>
      </c>
      <c r="B277" s="8" t="s">
        <v>495</v>
      </c>
      <c r="C277" s="8" t="s">
        <v>1225</v>
      </c>
      <c r="D277" s="50" t="s">
        <v>905</v>
      </c>
      <c r="E277" s="8"/>
      <c r="F277" s="8"/>
    </row>
    <row r="278" spans="1:6" s="29" customFormat="1" ht="50.5" customHeight="1" x14ac:dyDescent="0.35">
      <c r="A278" s="20" t="s">
        <v>1226</v>
      </c>
      <c r="B278" s="8" t="s">
        <v>572</v>
      </c>
      <c r="C278" s="8" t="s">
        <v>1227</v>
      </c>
      <c r="D278" s="50" t="s">
        <v>1213</v>
      </c>
      <c r="E278" s="8"/>
      <c r="F278" s="8"/>
    </row>
    <row r="279" spans="1:6" s="29" customFormat="1" ht="50.5" customHeight="1" x14ac:dyDescent="0.35">
      <c r="A279" s="20" t="s">
        <v>1228</v>
      </c>
      <c r="B279" s="8" t="s">
        <v>475</v>
      </c>
      <c r="C279" s="8" t="s">
        <v>1229</v>
      </c>
      <c r="D279" s="20" t="s">
        <v>1223</v>
      </c>
      <c r="E279" s="8" t="s">
        <v>533</v>
      </c>
      <c r="F279" s="8"/>
    </row>
    <row r="280" spans="1:6" s="29" customFormat="1" ht="50.5" customHeight="1" x14ac:dyDescent="0.35">
      <c r="A280" s="20" t="s">
        <v>1230</v>
      </c>
      <c r="B280" s="8" t="s">
        <v>475</v>
      </c>
      <c r="C280" s="8" t="s">
        <v>1231</v>
      </c>
      <c r="D280" s="50" t="s">
        <v>1207</v>
      </c>
      <c r="E280" s="8"/>
      <c r="F280" s="8"/>
    </row>
    <row r="281" spans="1:6" s="29" customFormat="1" ht="50.5" customHeight="1" x14ac:dyDescent="0.35">
      <c r="A281" s="20" t="s">
        <v>1232</v>
      </c>
      <c r="B281" s="20" t="s">
        <v>535</v>
      </c>
      <c r="C281" s="20" t="s">
        <v>1233</v>
      </c>
      <c r="D281" s="50" t="s">
        <v>1234</v>
      </c>
      <c r="E281" s="8"/>
      <c r="F281" s="8"/>
    </row>
    <row r="282" spans="1:6" s="29" customFormat="1" ht="50.5" customHeight="1" x14ac:dyDescent="0.35">
      <c r="A282" s="20" t="s">
        <v>1235</v>
      </c>
      <c r="B282" s="8" t="s">
        <v>475</v>
      </c>
      <c r="C282" s="8" t="s">
        <v>1206</v>
      </c>
      <c r="D282" s="50" t="s">
        <v>1207</v>
      </c>
      <c r="E282" s="8"/>
      <c r="F282" s="8"/>
    </row>
    <row r="283" spans="1:6" s="29" customFormat="1" ht="50.5" customHeight="1" x14ac:dyDescent="0.35">
      <c r="A283" s="20" t="s">
        <v>1236</v>
      </c>
      <c r="B283" s="8" t="s">
        <v>475</v>
      </c>
      <c r="C283" s="8" t="s">
        <v>1237</v>
      </c>
      <c r="D283" s="50" t="s">
        <v>1213</v>
      </c>
      <c r="E283" s="8"/>
      <c r="F283" s="8"/>
    </row>
    <row r="284" spans="1:6" s="29" customFormat="1" ht="50.5" customHeight="1" x14ac:dyDescent="0.35">
      <c r="A284" s="20" t="s">
        <v>1238</v>
      </c>
      <c r="B284" s="8" t="s">
        <v>535</v>
      </c>
      <c r="C284" s="8" t="s">
        <v>1239</v>
      </c>
      <c r="D284" s="8" t="s">
        <v>1129</v>
      </c>
      <c r="E284" s="8"/>
      <c r="F284" s="8"/>
    </row>
    <row r="285" spans="1:6" s="29" customFormat="1" ht="50.5" customHeight="1" x14ac:dyDescent="0.35">
      <c r="A285" s="90" t="s">
        <v>1240</v>
      </c>
      <c r="B285" s="93" t="s">
        <v>495</v>
      </c>
      <c r="C285" s="93" t="s">
        <v>1241</v>
      </c>
      <c r="D285" s="18" t="s">
        <v>1167</v>
      </c>
      <c r="E285" s="93" t="s">
        <v>533</v>
      </c>
      <c r="F285" s="93" t="s">
        <v>1242</v>
      </c>
    </row>
    <row r="286" spans="1:6" s="29" customFormat="1" ht="50.5" customHeight="1" x14ac:dyDescent="0.35">
      <c r="A286" s="20" t="s">
        <v>1243</v>
      </c>
      <c r="B286" s="8" t="s">
        <v>475</v>
      </c>
      <c r="C286" s="8" t="s">
        <v>1244</v>
      </c>
      <c r="D286" s="18" t="s">
        <v>1180</v>
      </c>
      <c r="E286" s="8"/>
      <c r="F286" s="8"/>
    </row>
    <row r="287" spans="1:6" s="29" customFormat="1" ht="50.5" customHeight="1" x14ac:dyDescent="0.35">
      <c r="A287" s="90" t="s">
        <v>1245</v>
      </c>
      <c r="B287" s="93" t="s">
        <v>530</v>
      </c>
      <c r="C287" s="93" t="s">
        <v>1246</v>
      </c>
      <c r="D287" s="104" t="s">
        <v>1247</v>
      </c>
      <c r="E287" s="93"/>
      <c r="F287" s="93"/>
    </row>
    <row r="288" spans="1:6" s="29" customFormat="1" ht="50.5" customHeight="1" x14ac:dyDescent="0.35">
      <c r="A288" s="20" t="s">
        <v>1248</v>
      </c>
      <c r="B288" s="8" t="s">
        <v>530</v>
      </c>
      <c r="C288" s="8" t="s">
        <v>1249</v>
      </c>
      <c r="D288" s="50" t="s">
        <v>905</v>
      </c>
      <c r="E288" s="8"/>
      <c r="F288" s="8"/>
    </row>
    <row r="289" spans="1:6" s="29" customFormat="1" ht="50.5" customHeight="1" x14ac:dyDescent="0.35">
      <c r="A289" s="20" t="s">
        <v>1250</v>
      </c>
      <c r="B289" s="8" t="s">
        <v>561</v>
      </c>
      <c r="C289" s="8" t="s">
        <v>1251</v>
      </c>
      <c r="D289" s="50" t="s">
        <v>905</v>
      </c>
      <c r="E289" s="8"/>
      <c r="F289" s="8"/>
    </row>
    <row r="290" spans="1:6" s="29" customFormat="1" ht="50.5" customHeight="1" x14ac:dyDescent="0.35">
      <c r="A290" s="20" t="s">
        <v>1252</v>
      </c>
      <c r="B290" s="8" t="s">
        <v>475</v>
      </c>
      <c r="C290" s="8" t="s">
        <v>1253</v>
      </c>
      <c r="D290" s="50" t="s">
        <v>1254</v>
      </c>
      <c r="E290" s="8"/>
      <c r="F290" s="8"/>
    </row>
    <row r="291" spans="1:6" s="29" customFormat="1" ht="50.5" customHeight="1" x14ac:dyDescent="0.35">
      <c r="A291" s="20" t="s">
        <v>1255</v>
      </c>
      <c r="B291" s="8" t="s">
        <v>530</v>
      </c>
      <c r="C291" s="8" t="s">
        <v>1256</v>
      </c>
      <c r="D291" s="104" t="s">
        <v>1247</v>
      </c>
      <c r="E291" s="8"/>
      <c r="F291" s="8"/>
    </row>
    <row r="292" spans="1:6" s="29" customFormat="1" ht="50.5" customHeight="1" x14ac:dyDescent="0.35">
      <c r="A292" s="20" t="s">
        <v>1257</v>
      </c>
      <c r="B292" s="8" t="s">
        <v>475</v>
      </c>
      <c r="C292" s="8" t="s">
        <v>1258</v>
      </c>
      <c r="D292" s="50" t="s">
        <v>905</v>
      </c>
      <c r="E292" s="8"/>
      <c r="F292" s="8"/>
    </row>
    <row r="293" spans="1:6" s="29" customFormat="1" ht="50.5" customHeight="1" x14ac:dyDescent="0.35">
      <c r="A293" s="20" t="s">
        <v>1259</v>
      </c>
      <c r="B293" s="8" t="s">
        <v>535</v>
      </c>
      <c r="C293" s="8" t="s">
        <v>1260</v>
      </c>
      <c r="D293" s="50" t="s">
        <v>905</v>
      </c>
      <c r="E293" s="8"/>
      <c r="F293" s="8"/>
    </row>
    <row r="294" spans="1:6" s="29" customFormat="1" ht="50.5" customHeight="1" x14ac:dyDescent="0.35">
      <c r="A294" s="20" t="s">
        <v>1261</v>
      </c>
      <c r="B294" s="8" t="s">
        <v>530</v>
      </c>
      <c r="C294" s="8" t="s">
        <v>1262</v>
      </c>
      <c r="D294" s="50" t="s">
        <v>905</v>
      </c>
      <c r="E294" s="8"/>
      <c r="F294" s="8"/>
    </row>
    <row r="295" spans="1:6" s="29" customFormat="1" ht="50.5" customHeight="1" x14ac:dyDescent="0.35">
      <c r="A295" s="20" t="s">
        <v>1263</v>
      </c>
      <c r="B295" s="8" t="s">
        <v>475</v>
      </c>
      <c r="C295" s="8" t="s">
        <v>1264</v>
      </c>
      <c r="D295" s="20" t="s">
        <v>1223</v>
      </c>
      <c r="E295" s="8"/>
      <c r="F295" s="8"/>
    </row>
    <row r="296" spans="1:6" s="29" customFormat="1" ht="50.5" customHeight="1" x14ac:dyDescent="0.35">
      <c r="A296" s="20" t="s">
        <v>1265</v>
      </c>
      <c r="B296" s="8" t="s">
        <v>475</v>
      </c>
      <c r="C296" s="8" t="s">
        <v>1266</v>
      </c>
      <c r="D296" s="20" t="s">
        <v>1223</v>
      </c>
      <c r="E296" s="8"/>
      <c r="F296" s="8"/>
    </row>
    <row r="297" spans="1:6" s="29" customFormat="1" ht="50.5" customHeight="1" x14ac:dyDescent="0.35">
      <c r="A297" s="20" t="s">
        <v>1267</v>
      </c>
      <c r="B297" s="8" t="s">
        <v>543</v>
      </c>
      <c r="C297" s="8" t="s">
        <v>1268</v>
      </c>
      <c r="D297" s="50" t="s">
        <v>1213</v>
      </c>
      <c r="E297" s="8"/>
      <c r="F297" s="8"/>
    </row>
    <row r="298" spans="1:6" s="29" customFormat="1" ht="50.5" customHeight="1" x14ac:dyDescent="0.35">
      <c r="A298" s="20" t="s">
        <v>1269</v>
      </c>
      <c r="B298" s="8" t="s">
        <v>475</v>
      </c>
      <c r="C298" s="8" t="s">
        <v>1270</v>
      </c>
      <c r="D298" s="104" t="s">
        <v>1207</v>
      </c>
      <c r="E298" s="8"/>
      <c r="F298" s="8" t="s">
        <v>1271</v>
      </c>
    </row>
    <row r="299" spans="1:6" s="29" customFormat="1" ht="50.5" customHeight="1" x14ac:dyDescent="0.35">
      <c r="A299" s="20" t="s">
        <v>1272</v>
      </c>
      <c r="B299" s="8" t="s">
        <v>543</v>
      </c>
      <c r="C299" s="8" t="s">
        <v>1273</v>
      </c>
      <c r="D299" s="50" t="s">
        <v>1213</v>
      </c>
      <c r="E299" s="8"/>
      <c r="F299" s="8"/>
    </row>
    <row r="300" spans="1:6" s="29" customFormat="1" ht="50.5" customHeight="1" x14ac:dyDescent="0.35">
      <c r="A300" s="20" t="s">
        <v>1274</v>
      </c>
      <c r="B300" s="8" t="s">
        <v>475</v>
      </c>
      <c r="C300" s="8" t="s">
        <v>1275</v>
      </c>
      <c r="D300" s="8" t="s">
        <v>905</v>
      </c>
      <c r="E300" s="8"/>
      <c r="F300" s="8"/>
    </row>
    <row r="301" spans="1:6" s="29" customFormat="1" ht="50.5" customHeight="1" x14ac:dyDescent="0.35">
      <c r="A301" s="20" t="s">
        <v>1276</v>
      </c>
      <c r="B301" s="8" t="s">
        <v>535</v>
      </c>
      <c r="C301" s="8" t="s">
        <v>1277</v>
      </c>
      <c r="D301" s="50" t="s">
        <v>1213</v>
      </c>
      <c r="E301" s="8"/>
      <c r="F301" s="8"/>
    </row>
    <row r="302" spans="1:6" s="29" customFormat="1" ht="50.5" customHeight="1" x14ac:dyDescent="0.35">
      <c r="A302" s="20" t="s">
        <v>1278</v>
      </c>
      <c r="B302" s="8" t="s">
        <v>475</v>
      </c>
      <c r="C302" s="8" t="s">
        <v>1279</v>
      </c>
      <c r="D302" s="50" t="s">
        <v>1254</v>
      </c>
      <c r="E302" s="8"/>
      <c r="F302" s="8"/>
    </row>
    <row r="303" spans="1:6" s="29" customFormat="1" ht="50.5" customHeight="1" x14ac:dyDescent="0.35">
      <c r="A303" s="20" t="s">
        <v>1280</v>
      </c>
      <c r="B303" s="8" t="s">
        <v>543</v>
      </c>
      <c r="C303" s="8" t="s">
        <v>1281</v>
      </c>
      <c r="D303" s="20" t="s">
        <v>1223</v>
      </c>
      <c r="E303" s="8"/>
      <c r="F303" s="8"/>
    </row>
    <row r="304" spans="1:6" s="29" customFormat="1" ht="50.5" customHeight="1" x14ac:dyDescent="0.35">
      <c r="A304" s="20" t="s">
        <v>1282</v>
      </c>
      <c r="B304" s="8" t="s">
        <v>475</v>
      </c>
      <c r="C304" s="8" t="s">
        <v>1283</v>
      </c>
      <c r="D304" s="20" t="s">
        <v>1223</v>
      </c>
      <c r="E304" s="8"/>
      <c r="F304" s="8"/>
    </row>
    <row r="305" spans="1:6" s="29" customFormat="1" ht="50.5" customHeight="1" x14ac:dyDescent="0.35">
      <c r="A305" s="20" t="s">
        <v>1284</v>
      </c>
      <c r="B305" s="8" t="s">
        <v>530</v>
      </c>
      <c r="C305" s="8" t="s">
        <v>1285</v>
      </c>
      <c r="D305" s="20" t="s">
        <v>1223</v>
      </c>
      <c r="E305" s="8"/>
      <c r="F305" s="8"/>
    </row>
    <row r="306" spans="1:6" s="29" customFormat="1" ht="50.5" customHeight="1" x14ac:dyDescent="0.35">
      <c r="A306" s="20" t="s">
        <v>1286</v>
      </c>
      <c r="B306" s="8" t="s">
        <v>572</v>
      </c>
      <c r="C306" s="8" t="s">
        <v>1287</v>
      </c>
      <c r="D306" s="20" t="s">
        <v>1207</v>
      </c>
      <c r="E306" s="8" t="s">
        <v>533</v>
      </c>
      <c r="F306" s="8"/>
    </row>
    <row r="307" spans="1:6" s="29" customFormat="1" ht="50.5" customHeight="1" x14ac:dyDescent="0.35">
      <c r="A307" s="20" t="s">
        <v>1288</v>
      </c>
      <c r="B307" s="8" t="s">
        <v>475</v>
      </c>
      <c r="C307" s="8" t="s">
        <v>1289</v>
      </c>
      <c r="D307" s="20" t="s">
        <v>1223</v>
      </c>
      <c r="E307" s="8"/>
      <c r="F307" s="8"/>
    </row>
    <row r="308" spans="1:6" s="29" customFormat="1" ht="50.5" customHeight="1" x14ac:dyDescent="0.35">
      <c r="A308" s="20" t="s">
        <v>1290</v>
      </c>
      <c r="B308" s="8" t="s">
        <v>530</v>
      </c>
      <c r="C308" s="8" t="s">
        <v>1291</v>
      </c>
      <c r="D308" s="8" t="s">
        <v>1077</v>
      </c>
      <c r="E308" s="8"/>
      <c r="F308" s="8"/>
    </row>
    <row r="309" spans="1:6" s="29" customFormat="1" ht="50.5" customHeight="1" x14ac:dyDescent="0.35">
      <c r="A309" s="20" t="s">
        <v>1292</v>
      </c>
      <c r="B309" s="8" t="s">
        <v>530</v>
      </c>
      <c r="C309" s="8" t="s">
        <v>1293</v>
      </c>
      <c r="D309" s="8" t="s">
        <v>1077</v>
      </c>
      <c r="E309" s="8"/>
      <c r="F309" s="8"/>
    </row>
    <row r="310" spans="1:6" s="29" customFormat="1" ht="50.5" customHeight="1" x14ac:dyDescent="0.35">
      <c r="A310" s="20" t="s">
        <v>1294</v>
      </c>
      <c r="B310" s="8" t="s">
        <v>475</v>
      </c>
      <c r="C310" s="18" t="s">
        <v>1295</v>
      </c>
      <c r="D310" s="50" t="s">
        <v>1254</v>
      </c>
      <c r="E310" s="8"/>
      <c r="F310" s="8"/>
    </row>
    <row r="311" spans="1:6" s="29" customFormat="1" ht="50.5" customHeight="1" x14ac:dyDescent="0.35">
      <c r="A311" s="20" t="s">
        <v>1296</v>
      </c>
      <c r="B311" s="8" t="s">
        <v>475</v>
      </c>
      <c r="C311" s="18" t="s">
        <v>1297</v>
      </c>
      <c r="D311" s="50" t="s">
        <v>1298</v>
      </c>
      <c r="E311" s="8"/>
      <c r="F311" s="8"/>
    </row>
    <row r="312" spans="1:6" ht="50.5" customHeight="1" x14ac:dyDescent="0.35">
      <c r="A312" s="20" t="s">
        <v>1299</v>
      </c>
      <c r="B312" s="8" t="s">
        <v>530</v>
      </c>
      <c r="C312" s="8" t="s">
        <v>1300</v>
      </c>
      <c r="D312" s="8" t="s">
        <v>1077</v>
      </c>
      <c r="E312" s="8"/>
      <c r="F312" s="8"/>
    </row>
    <row r="313" spans="1:6" ht="50.5" customHeight="1" x14ac:dyDescent="0.35">
      <c r="A313" s="20" t="s">
        <v>1301</v>
      </c>
      <c r="B313" s="8" t="s">
        <v>580</v>
      </c>
      <c r="C313" s="18" t="s">
        <v>1302</v>
      </c>
      <c r="D313" s="20" t="s">
        <v>1303</v>
      </c>
      <c r="E313" s="8"/>
      <c r="F313" s="8"/>
    </row>
    <row r="314" spans="1:6" ht="50.5" customHeight="1" x14ac:dyDescent="0.35">
      <c r="A314" s="90" t="s">
        <v>1304</v>
      </c>
      <c r="B314" s="93" t="s">
        <v>530</v>
      </c>
      <c r="C314" s="91" t="s">
        <v>1305</v>
      </c>
      <c r="D314" s="104" t="s">
        <v>1306</v>
      </c>
      <c r="E314" s="93"/>
      <c r="F314" s="93"/>
    </row>
    <row r="315" spans="1:6" ht="50.5" customHeight="1" x14ac:dyDescent="0.35">
      <c r="A315" s="20" t="s">
        <v>1307</v>
      </c>
      <c r="B315" s="8" t="s">
        <v>475</v>
      </c>
      <c r="C315" s="8" t="s">
        <v>1308</v>
      </c>
      <c r="D315" s="8" t="s">
        <v>1077</v>
      </c>
      <c r="E315" s="8"/>
      <c r="F315" s="8"/>
    </row>
    <row r="316" spans="1:6" ht="50.5" customHeight="1" x14ac:dyDescent="0.35">
      <c r="A316" s="20" t="s">
        <v>1309</v>
      </c>
      <c r="B316" s="8" t="s">
        <v>475</v>
      </c>
      <c r="C316" s="8" t="s">
        <v>1310</v>
      </c>
      <c r="D316" s="50" t="s">
        <v>1077</v>
      </c>
      <c r="E316" s="8"/>
      <c r="F316" s="8"/>
    </row>
    <row r="317" spans="1:6" s="29" customFormat="1" ht="50.5" customHeight="1" x14ac:dyDescent="0.35">
      <c r="A317" s="20" t="s">
        <v>1311</v>
      </c>
      <c r="B317" s="8" t="s">
        <v>530</v>
      </c>
      <c r="C317" s="18" t="s">
        <v>1312</v>
      </c>
      <c r="D317" s="50" t="s">
        <v>1213</v>
      </c>
      <c r="E317" s="8"/>
      <c r="F317" s="8"/>
    </row>
    <row r="318" spans="1:6" s="29" customFormat="1" ht="50.5" customHeight="1" x14ac:dyDescent="0.35">
      <c r="A318" s="20" t="s">
        <v>1313</v>
      </c>
      <c r="B318" s="8" t="s">
        <v>475</v>
      </c>
      <c r="C318" s="8" t="s">
        <v>1314</v>
      </c>
      <c r="D318" s="20" t="s">
        <v>1223</v>
      </c>
      <c r="E318" s="8"/>
      <c r="F318" s="8"/>
    </row>
    <row r="319" spans="1:6" s="29" customFormat="1" ht="50.5" customHeight="1" x14ac:dyDescent="0.35">
      <c r="A319" s="20" t="s">
        <v>1315</v>
      </c>
      <c r="B319" s="8" t="s">
        <v>495</v>
      </c>
      <c r="C319" s="18" t="s">
        <v>1316</v>
      </c>
      <c r="D319" s="50" t="s">
        <v>1207</v>
      </c>
      <c r="E319" s="8"/>
      <c r="F319" s="8"/>
    </row>
    <row r="320" spans="1:6" s="29" customFormat="1" ht="50.5" customHeight="1" x14ac:dyDescent="0.35">
      <c r="A320" s="20" t="s">
        <v>1317</v>
      </c>
      <c r="B320" s="8" t="s">
        <v>495</v>
      </c>
      <c r="C320" s="8" t="s">
        <v>1318</v>
      </c>
      <c r="D320" s="20" t="s">
        <v>1223</v>
      </c>
      <c r="E320" s="8"/>
      <c r="F320" s="8"/>
    </row>
    <row r="321" spans="1:6" s="29" customFormat="1" ht="50.5" customHeight="1" x14ac:dyDescent="0.35">
      <c r="A321" s="20" t="s">
        <v>1319</v>
      </c>
      <c r="B321" s="8" t="s">
        <v>495</v>
      </c>
      <c r="C321" s="8" t="s">
        <v>1320</v>
      </c>
      <c r="D321" s="20" t="s">
        <v>1223</v>
      </c>
      <c r="E321" s="8"/>
      <c r="F321" s="8"/>
    </row>
    <row r="322" spans="1:6" s="29" customFormat="1" ht="50.5" customHeight="1" x14ac:dyDescent="0.35">
      <c r="A322" s="20" t="s">
        <v>1321</v>
      </c>
      <c r="B322" s="8" t="s">
        <v>475</v>
      </c>
      <c r="C322" s="8" t="s">
        <v>1322</v>
      </c>
      <c r="D322" s="20" t="s">
        <v>1223</v>
      </c>
      <c r="E322" s="8"/>
      <c r="F322" s="8"/>
    </row>
    <row r="323" spans="1:6" s="29" customFormat="1" ht="50.5" customHeight="1" x14ac:dyDescent="0.35">
      <c r="A323" s="25" t="s">
        <v>1323</v>
      </c>
      <c r="B323" s="8" t="s">
        <v>475</v>
      </c>
      <c r="C323" s="8" t="s">
        <v>1324</v>
      </c>
      <c r="D323" s="8" t="s">
        <v>1223</v>
      </c>
      <c r="E323" s="8"/>
      <c r="F323" s="8" t="s">
        <v>1325</v>
      </c>
    </row>
    <row r="324" spans="1:6" s="29" customFormat="1" ht="50.5" customHeight="1" x14ac:dyDescent="0.35">
      <c r="A324" s="25" t="s">
        <v>1326</v>
      </c>
      <c r="B324" s="8" t="s">
        <v>475</v>
      </c>
      <c r="C324" s="8" t="s">
        <v>1327</v>
      </c>
      <c r="D324" s="8" t="s">
        <v>1223</v>
      </c>
      <c r="E324" s="8"/>
      <c r="F324" s="8" t="s">
        <v>1325</v>
      </c>
    </row>
    <row r="325" spans="1:6" s="29" customFormat="1" ht="50.5" customHeight="1" x14ac:dyDescent="0.35">
      <c r="A325" s="25" t="s">
        <v>1328</v>
      </c>
      <c r="B325" s="8" t="s">
        <v>475</v>
      </c>
      <c r="C325" s="8" t="s">
        <v>1329</v>
      </c>
      <c r="D325" s="8" t="s">
        <v>1223</v>
      </c>
      <c r="E325" s="8"/>
      <c r="F325" s="8" t="s">
        <v>1325</v>
      </c>
    </row>
    <row r="326" spans="1:6" s="29" customFormat="1" ht="50.5" customHeight="1" x14ac:dyDescent="0.35">
      <c r="A326" s="25" t="s">
        <v>1330</v>
      </c>
      <c r="B326" s="8" t="s">
        <v>475</v>
      </c>
      <c r="C326" s="8" t="s">
        <v>1331</v>
      </c>
      <c r="D326" s="8" t="s">
        <v>1223</v>
      </c>
      <c r="E326" s="8"/>
      <c r="F326" s="8" t="s">
        <v>1325</v>
      </c>
    </row>
    <row r="327" spans="1:6" s="29" customFormat="1" ht="50.5" customHeight="1" x14ac:dyDescent="0.35">
      <c r="A327" s="25" t="s">
        <v>1332</v>
      </c>
      <c r="B327" s="8" t="s">
        <v>475</v>
      </c>
      <c r="C327" s="8" t="s">
        <v>1333</v>
      </c>
      <c r="D327" s="8" t="s">
        <v>1223</v>
      </c>
      <c r="E327" s="8"/>
      <c r="F327" s="8" t="s">
        <v>1325</v>
      </c>
    </row>
    <row r="328" spans="1:6" s="29" customFormat="1" ht="50.5" customHeight="1" x14ac:dyDescent="0.35">
      <c r="A328" s="20" t="s">
        <v>1334</v>
      </c>
      <c r="B328" s="8" t="s">
        <v>543</v>
      </c>
      <c r="C328" s="18" t="s">
        <v>1335</v>
      </c>
      <c r="D328" s="50" t="s">
        <v>1025</v>
      </c>
      <c r="E328" s="8"/>
      <c r="F328" s="8"/>
    </row>
    <row r="329" spans="1:6" ht="50.5" customHeight="1" x14ac:dyDescent="0.35">
      <c r="A329" s="20" t="s">
        <v>1336</v>
      </c>
      <c r="B329" s="8" t="s">
        <v>475</v>
      </c>
      <c r="C329" s="126" t="s">
        <v>1337</v>
      </c>
      <c r="D329" s="8" t="s">
        <v>1338</v>
      </c>
      <c r="E329" s="8"/>
      <c r="F329" s="8"/>
    </row>
    <row r="330" spans="1:6" s="102" customFormat="1" ht="50.5" customHeight="1" x14ac:dyDescent="0.35">
      <c r="A330" s="20" t="s">
        <v>1339</v>
      </c>
      <c r="B330" s="8" t="s">
        <v>475</v>
      </c>
      <c r="C330" s="18" t="s">
        <v>1340</v>
      </c>
      <c r="D330" s="50" t="s">
        <v>1254</v>
      </c>
      <c r="E330" s="8"/>
      <c r="F330" s="8"/>
    </row>
    <row r="331" spans="1:6" s="29" customFormat="1" ht="50.5" customHeight="1" x14ac:dyDescent="0.35">
      <c r="A331" s="20" t="s">
        <v>1341</v>
      </c>
      <c r="B331" s="8" t="s">
        <v>580</v>
      </c>
      <c r="C331" s="18" t="s">
        <v>1342</v>
      </c>
      <c r="D331" s="50" t="s">
        <v>1207</v>
      </c>
      <c r="E331" s="8"/>
      <c r="F331" s="8"/>
    </row>
    <row r="332" spans="1:6" s="29" customFormat="1" ht="50.5" customHeight="1" x14ac:dyDescent="0.35">
      <c r="A332" s="20" t="s">
        <v>1343</v>
      </c>
      <c r="B332" s="8" t="s">
        <v>475</v>
      </c>
      <c r="C332" s="18" t="s">
        <v>1344</v>
      </c>
      <c r="D332" s="50" t="s">
        <v>1207</v>
      </c>
      <c r="E332" s="8"/>
      <c r="F332" s="8"/>
    </row>
    <row r="333" spans="1:6" s="29" customFormat="1" ht="50.5" customHeight="1" x14ac:dyDescent="0.35">
      <c r="A333" s="20" t="s">
        <v>1345</v>
      </c>
      <c r="B333" s="8" t="s">
        <v>580</v>
      </c>
      <c r="C333" s="18" t="s">
        <v>1346</v>
      </c>
      <c r="D333" s="50" t="s">
        <v>1207</v>
      </c>
      <c r="E333" s="8"/>
      <c r="F333" s="8"/>
    </row>
    <row r="334" spans="1:6" s="29" customFormat="1" ht="50.5" customHeight="1" x14ac:dyDescent="0.35">
      <c r="A334" s="20" t="s">
        <v>1347</v>
      </c>
      <c r="B334" s="8" t="s">
        <v>475</v>
      </c>
      <c r="C334" s="18" t="s">
        <v>1348</v>
      </c>
      <c r="D334" s="50" t="s">
        <v>1254</v>
      </c>
      <c r="E334" s="8"/>
      <c r="F334" s="8"/>
    </row>
    <row r="335" spans="1:6" s="29" customFormat="1" ht="50.5" customHeight="1" x14ac:dyDescent="0.35">
      <c r="A335" s="20" t="s">
        <v>1349</v>
      </c>
      <c r="B335" s="8" t="s">
        <v>475</v>
      </c>
      <c r="C335" s="18" t="s">
        <v>1350</v>
      </c>
      <c r="D335" s="50" t="s">
        <v>1207</v>
      </c>
      <c r="E335" s="8"/>
      <c r="F335" s="8"/>
    </row>
    <row r="336" spans="1:6" s="29" customFormat="1" ht="50.5" customHeight="1" x14ac:dyDescent="0.35">
      <c r="A336" s="20" t="s">
        <v>1351</v>
      </c>
      <c r="B336" s="8" t="s">
        <v>475</v>
      </c>
      <c r="C336" s="18" t="s">
        <v>1352</v>
      </c>
      <c r="D336" s="50" t="s">
        <v>1207</v>
      </c>
      <c r="E336" s="8"/>
      <c r="F336" s="8"/>
    </row>
    <row r="337" spans="1:6" s="29" customFormat="1" ht="50.5" customHeight="1" x14ac:dyDescent="0.35">
      <c r="A337" s="90" t="s">
        <v>1353</v>
      </c>
      <c r="B337" s="93" t="s">
        <v>530</v>
      </c>
      <c r="C337" s="91" t="s">
        <v>1354</v>
      </c>
      <c r="D337" s="104" t="s">
        <v>1306</v>
      </c>
      <c r="E337" s="93"/>
      <c r="F337" s="93"/>
    </row>
    <row r="338" spans="1:6" s="29" customFormat="1" ht="50.5" customHeight="1" x14ac:dyDescent="0.35">
      <c r="A338" s="20" t="s">
        <v>1355</v>
      </c>
      <c r="B338" s="8" t="s">
        <v>535</v>
      </c>
      <c r="C338" s="8" t="s">
        <v>1356</v>
      </c>
      <c r="D338" s="20" t="s">
        <v>1357</v>
      </c>
      <c r="E338" s="8"/>
      <c r="F338" s="8"/>
    </row>
    <row r="339" spans="1:6" s="29" customFormat="1" ht="50.5" customHeight="1" x14ac:dyDescent="0.35">
      <c r="A339" s="90" t="s">
        <v>1358</v>
      </c>
      <c r="B339" s="93" t="s">
        <v>475</v>
      </c>
      <c r="C339" s="91" t="s">
        <v>1359</v>
      </c>
      <c r="D339" s="50" t="s">
        <v>1360</v>
      </c>
      <c r="E339" s="93"/>
      <c r="F339" s="93"/>
    </row>
    <row r="340" spans="1:6" s="29" customFormat="1" ht="50.5" customHeight="1" x14ac:dyDescent="0.35">
      <c r="A340" s="20" t="s">
        <v>1361</v>
      </c>
      <c r="B340" s="8" t="s">
        <v>611</v>
      </c>
      <c r="C340" s="18" t="s">
        <v>1362</v>
      </c>
      <c r="D340" s="20" t="s">
        <v>1357</v>
      </c>
      <c r="E340" s="8"/>
      <c r="F340" s="117"/>
    </row>
    <row r="341" spans="1:6" s="29" customFormat="1" ht="50.5" customHeight="1" x14ac:dyDescent="0.35">
      <c r="A341" s="20" t="s">
        <v>1363</v>
      </c>
      <c r="B341" s="8" t="s">
        <v>611</v>
      </c>
      <c r="C341" s="8" t="s">
        <v>1364</v>
      </c>
      <c r="D341" s="104" t="s">
        <v>1247</v>
      </c>
      <c r="E341" s="8"/>
      <c r="F341" s="8"/>
    </row>
    <row r="342" spans="1:6" s="29" customFormat="1" ht="50.5" customHeight="1" x14ac:dyDescent="0.35">
      <c r="A342" s="20" t="s">
        <v>1365</v>
      </c>
      <c r="B342" s="8" t="s">
        <v>535</v>
      </c>
      <c r="C342" s="8" t="s">
        <v>1366</v>
      </c>
      <c r="D342" s="8" t="s">
        <v>1357</v>
      </c>
      <c r="E342" s="8"/>
      <c r="F342" s="8"/>
    </row>
    <row r="343" spans="1:6" s="29" customFormat="1" ht="50.5" customHeight="1" x14ac:dyDescent="0.35">
      <c r="A343" s="20" t="s">
        <v>1367</v>
      </c>
      <c r="B343" s="8" t="s">
        <v>475</v>
      </c>
      <c r="C343" s="18" t="s">
        <v>1368</v>
      </c>
      <c r="D343" s="20" t="s">
        <v>1303</v>
      </c>
      <c r="E343" s="8"/>
      <c r="F343" s="8"/>
    </row>
    <row r="344" spans="1:6" s="29" customFormat="1" ht="50.5" customHeight="1" x14ac:dyDescent="0.35">
      <c r="A344" s="20" t="s">
        <v>1369</v>
      </c>
      <c r="B344" s="8" t="s">
        <v>611</v>
      </c>
      <c r="C344" s="8" t="s">
        <v>1370</v>
      </c>
      <c r="D344" s="50" t="s">
        <v>1254</v>
      </c>
      <c r="E344" s="8"/>
      <c r="F344" s="8"/>
    </row>
    <row r="345" spans="1:6" s="29" customFormat="1" ht="50.5" customHeight="1" x14ac:dyDescent="0.35">
      <c r="A345" s="20" t="s">
        <v>1371</v>
      </c>
      <c r="B345" s="8" t="s">
        <v>495</v>
      </c>
      <c r="C345" s="18" t="s">
        <v>1372</v>
      </c>
      <c r="D345" s="104" t="s">
        <v>1306</v>
      </c>
      <c r="E345" s="8"/>
      <c r="F345" s="8"/>
    </row>
    <row r="346" spans="1:6" s="29" customFormat="1" ht="50.5" customHeight="1" x14ac:dyDescent="0.35">
      <c r="A346" s="25" t="s">
        <v>1373</v>
      </c>
      <c r="B346" s="8" t="s">
        <v>468</v>
      </c>
      <c r="C346" s="126" t="s">
        <v>1374</v>
      </c>
      <c r="D346" s="104" t="s">
        <v>1306</v>
      </c>
      <c r="E346" s="5"/>
      <c r="F346" s="97"/>
    </row>
    <row r="347" spans="1:6" s="29" customFormat="1" ht="50.5" customHeight="1" x14ac:dyDescent="0.35">
      <c r="A347" s="25" t="s">
        <v>1375</v>
      </c>
      <c r="B347" s="8" t="s">
        <v>468</v>
      </c>
      <c r="C347" s="18" t="s">
        <v>1376</v>
      </c>
      <c r="D347" s="104" t="s">
        <v>1306</v>
      </c>
      <c r="E347" s="5"/>
      <c r="F347" s="97"/>
    </row>
    <row r="348" spans="1:6" s="29" customFormat="1" ht="50.5" customHeight="1" x14ac:dyDescent="0.35">
      <c r="A348" s="20" t="s">
        <v>1377</v>
      </c>
      <c r="B348" s="8" t="s">
        <v>495</v>
      </c>
      <c r="C348" s="18" t="s">
        <v>1378</v>
      </c>
      <c r="D348" s="8" t="s">
        <v>1159</v>
      </c>
      <c r="E348" s="8"/>
      <c r="F348" s="8"/>
    </row>
    <row r="349" spans="1:6" s="29" customFormat="1" ht="50.5" customHeight="1" x14ac:dyDescent="0.35">
      <c r="A349" s="20" t="s">
        <v>1379</v>
      </c>
      <c r="B349" s="8" t="s">
        <v>535</v>
      </c>
      <c r="C349" s="18" t="s">
        <v>1380</v>
      </c>
      <c r="D349" s="20" t="s">
        <v>1357</v>
      </c>
      <c r="E349" s="8"/>
      <c r="F349" s="8"/>
    </row>
    <row r="350" spans="1:6" ht="50.5" customHeight="1" x14ac:dyDescent="0.35">
      <c r="A350" s="20" t="s">
        <v>1381</v>
      </c>
      <c r="B350" s="8" t="s">
        <v>611</v>
      </c>
      <c r="C350" s="126" t="s">
        <v>1382</v>
      </c>
      <c r="D350" s="104" t="s">
        <v>1247</v>
      </c>
      <c r="E350" s="8"/>
      <c r="F350" s="8"/>
    </row>
    <row r="351" spans="1:6" s="102" customFormat="1" ht="50.5" customHeight="1" x14ac:dyDescent="0.35">
      <c r="A351" s="20" t="s">
        <v>1383</v>
      </c>
      <c r="B351" s="8" t="s">
        <v>535</v>
      </c>
      <c r="C351" s="18" t="s">
        <v>1384</v>
      </c>
      <c r="D351" s="104" t="s">
        <v>1247</v>
      </c>
      <c r="E351" s="8"/>
      <c r="F351" s="8"/>
    </row>
    <row r="352" spans="1:6" s="102" customFormat="1" ht="50.5" customHeight="1" x14ac:dyDescent="0.35">
      <c r="A352" s="90" t="s">
        <v>1385</v>
      </c>
      <c r="B352" s="93" t="s">
        <v>692</v>
      </c>
      <c r="C352" s="91" t="s">
        <v>1386</v>
      </c>
      <c r="D352" s="104" t="s">
        <v>1387</v>
      </c>
      <c r="E352" s="93" t="s">
        <v>533</v>
      </c>
      <c r="F352" s="93"/>
    </row>
    <row r="353" spans="1:6" s="29" customFormat="1" ht="50.5" customHeight="1" x14ac:dyDescent="0.35">
      <c r="A353" s="20" t="s">
        <v>1388</v>
      </c>
      <c r="B353" s="8" t="s">
        <v>475</v>
      </c>
      <c r="C353" s="18" t="s">
        <v>1389</v>
      </c>
      <c r="D353" s="104" t="s">
        <v>1247</v>
      </c>
      <c r="E353" s="8"/>
      <c r="F353" s="8"/>
    </row>
    <row r="354" spans="1:6" s="29" customFormat="1" ht="50.5" customHeight="1" x14ac:dyDescent="0.35">
      <c r="A354" s="20" t="s">
        <v>1390</v>
      </c>
      <c r="B354" s="8" t="s">
        <v>530</v>
      </c>
      <c r="C354" s="18" t="s">
        <v>1391</v>
      </c>
      <c r="D354" s="104" t="s">
        <v>1247</v>
      </c>
      <c r="E354" s="8"/>
      <c r="F354" s="8"/>
    </row>
    <row r="355" spans="1:6" s="29" customFormat="1" ht="50.5" customHeight="1" x14ac:dyDescent="0.35">
      <c r="A355" s="20" t="s">
        <v>1392</v>
      </c>
      <c r="B355" s="8" t="s">
        <v>535</v>
      </c>
      <c r="C355" s="126" t="s">
        <v>1393</v>
      </c>
      <c r="D355" s="18" t="s">
        <v>1394</v>
      </c>
      <c r="E355" s="8"/>
      <c r="F355" s="8" t="s">
        <v>1395</v>
      </c>
    </row>
    <row r="356" spans="1:6" s="29" customFormat="1" ht="50.5" customHeight="1" x14ac:dyDescent="0.35">
      <c r="A356" s="113" t="s">
        <v>1396</v>
      </c>
      <c r="B356" s="8" t="s">
        <v>475</v>
      </c>
      <c r="C356" s="8" t="s">
        <v>1212</v>
      </c>
      <c r="D356" s="104" t="s">
        <v>1247</v>
      </c>
      <c r="E356" s="8"/>
      <c r="F356" s="8"/>
    </row>
    <row r="357" spans="1:6" s="29" customFormat="1" ht="50.5" customHeight="1" x14ac:dyDescent="0.35">
      <c r="A357" s="114" t="s">
        <v>1397</v>
      </c>
      <c r="B357" s="93" t="s">
        <v>475</v>
      </c>
      <c r="C357" s="93" t="s">
        <v>1398</v>
      </c>
      <c r="D357" s="18" t="s">
        <v>1167</v>
      </c>
      <c r="E357" s="93"/>
      <c r="F357" s="93" t="s">
        <v>1399</v>
      </c>
    </row>
    <row r="358" spans="1:6" s="102" customFormat="1" ht="50.5" customHeight="1" x14ac:dyDescent="0.35">
      <c r="A358" s="114" t="s">
        <v>1400</v>
      </c>
      <c r="B358" s="93" t="s">
        <v>561</v>
      </c>
      <c r="C358" s="93" t="s">
        <v>1401</v>
      </c>
      <c r="D358" s="50" t="s">
        <v>1402</v>
      </c>
      <c r="E358" s="93"/>
      <c r="F358" s="93" t="s">
        <v>1403</v>
      </c>
    </row>
    <row r="359" spans="1:6" s="102" customFormat="1" ht="50.5" customHeight="1" x14ac:dyDescent="0.35">
      <c r="A359" s="50" t="s">
        <v>1404</v>
      </c>
      <c r="B359" s="18" t="s">
        <v>530</v>
      </c>
      <c r="C359" s="18" t="s">
        <v>1405</v>
      </c>
      <c r="D359" s="104" t="s">
        <v>1247</v>
      </c>
      <c r="E359" s="8"/>
      <c r="F359" s="8"/>
    </row>
    <row r="360" spans="1:6" s="29" customFormat="1" ht="50.5" customHeight="1" x14ac:dyDescent="0.35">
      <c r="A360" s="50" t="s">
        <v>1406</v>
      </c>
      <c r="B360" s="18" t="s">
        <v>535</v>
      </c>
      <c r="C360" s="18" t="s">
        <v>1407</v>
      </c>
      <c r="D360" s="50" t="s">
        <v>1408</v>
      </c>
      <c r="E360" s="8"/>
      <c r="F360" s="8"/>
    </row>
    <row r="361" spans="1:6" s="29" customFormat="1" ht="50.5" customHeight="1" x14ac:dyDescent="0.35">
      <c r="A361" s="20" t="s">
        <v>1409</v>
      </c>
      <c r="B361" s="8" t="s">
        <v>475</v>
      </c>
      <c r="C361" s="8" t="s">
        <v>1410</v>
      </c>
      <c r="D361" s="20" t="s">
        <v>1303</v>
      </c>
      <c r="E361" s="8"/>
      <c r="F361" s="8"/>
    </row>
    <row r="362" spans="1:6" s="29" customFormat="1" ht="50.5" customHeight="1" x14ac:dyDescent="0.35">
      <c r="A362" s="20" t="s">
        <v>1411</v>
      </c>
      <c r="B362" s="8" t="s">
        <v>475</v>
      </c>
      <c r="C362" s="8" t="s">
        <v>1412</v>
      </c>
      <c r="D362" s="50" t="s">
        <v>1413</v>
      </c>
      <c r="E362" s="8"/>
      <c r="F362" s="8"/>
    </row>
    <row r="363" spans="1:6" s="29" customFormat="1" ht="50.5" customHeight="1" x14ac:dyDescent="0.35">
      <c r="A363" s="20" t="s">
        <v>1414</v>
      </c>
      <c r="B363" s="18" t="s">
        <v>530</v>
      </c>
      <c r="C363" s="8" t="s">
        <v>1415</v>
      </c>
      <c r="D363" s="50" t="s">
        <v>1416</v>
      </c>
      <c r="E363" s="8"/>
      <c r="F363" s="8" t="s">
        <v>1417</v>
      </c>
    </row>
    <row r="364" spans="1:6" s="29" customFormat="1" ht="50.5" customHeight="1" x14ac:dyDescent="0.35">
      <c r="A364" s="20" t="s">
        <v>1418</v>
      </c>
      <c r="B364" s="8" t="s">
        <v>475</v>
      </c>
      <c r="C364" s="8" t="s">
        <v>1419</v>
      </c>
      <c r="D364" s="104" t="s">
        <v>1306</v>
      </c>
      <c r="E364" s="8"/>
      <c r="F364" s="8"/>
    </row>
    <row r="365" spans="1:6" ht="50.5" customHeight="1" x14ac:dyDescent="0.35">
      <c r="A365" s="20" t="s">
        <v>1420</v>
      </c>
      <c r="B365" s="8" t="s">
        <v>580</v>
      </c>
      <c r="C365" s="8" t="s">
        <v>1421</v>
      </c>
      <c r="D365" s="50" t="s">
        <v>1416</v>
      </c>
      <c r="E365" s="8"/>
      <c r="F365" s="8" t="s">
        <v>1422</v>
      </c>
    </row>
    <row r="366" spans="1:6" ht="50.5" customHeight="1" x14ac:dyDescent="0.35">
      <c r="A366" s="20" t="s">
        <v>1423</v>
      </c>
      <c r="B366" s="8" t="s">
        <v>561</v>
      </c>
      <c r="C366" s="8" t="s">
        <v>1424</v>
      </c>
      <c r="D366" s="104" t="s">
        <v>1306</v>
      </c>
      <c r="E366" s="8"/>
      <c r="F366" s="8"/>
    </row>
    <row r="367" spans="1:6" s="29" customFormat="1" ht="85" customHeight="1" x14ac:dyDescent="0.35">
      <c r="A367" s="20" t="s">
        <v>1425</v>
      </c>
      <c r="B367" s="8" t="s">
        <v>1426</v>
      </c>
      <c r="C367" s="8" t="s">
        <v>1427</v>
      </c>
      <c r="D367" s="20" t="s">
        <v>1303</v>
      </c>
      <c r="E367" s="8"/>
      <c r="F367" s="8"/>
    </row>
    <row r="368" spans="1:6" s="102" customFormat="1" ht="50.5" customHeight="1" x14ac:dyDescent="0.35">
      <c r="A368" s="20" t="s">
        <v>1428</v>
      </c>
      <c r="B368" s="8" t="s">
        <v>475</v>
      </c>
      <c r="C368" s="8" t="s">
        <v>1429</v>
      </c>
      <c r="D368" s="104" t="s">
        <v>1306</v>
      </c>
      <c r="E368" s="8"/>
      <c r="F368" s="8"/>
    </row>
    <row r="369" spans="1:6" s="29" customFormat="1" ht="50.5" customHeight="1" x14ac:dyDescent="0.35">
      <c r="A369" s="20" t="s">
        <v>1430</v>
      </c>
      <c r="B369" s="8" t="s">
        <v>611</v>
      </c>
      <c r="C369" s="8" t="s">
        <v>1431</v>
      </c>
      <c r="D369" s="104" t="s">
        <v>1387</v>
      </c>
      <c r="E369" s="8"/>
      <c r="F369" s="8"/>
    </row>
    <row r="370" spans="1:6" s="102" customFormat="1" ht="50.5" customHeight="1" x14ac:dyDescent="0.35">
      <c r="A370" s="20" t="s">
        <v>1432</v>
      </c>
      <c r="B370" s="8" t="s">
        <v>561</v>
      </c>
      <c r="C370" s="8" t="s">
        <v>1433</v>
      </c>
      <c r="D370" s="20" t="s">
        <v>1303</v>
      </c>
      <c r="E370" s="8"/>
      <c r="F370" s="8"/>
    </row>
    <row r="371" spans="1:6" s="29" customFormat="1" ht="50.5" customHeight="1" x14ac:dyDescent="0.35">
      <c r="A371" s="20" t="s">
        <v>1434</v>
      </c>
      <c r="B371" s="8" t="s">
        <v>475</v>
      </c>
      <c r="C371" s="8" t="s">
        <v>1435</v>
      </c>
      <c r="D371" s="20" t="s">
        <v>1303</v>
      </c>
      <c r="E371" s="8"/>
      <c r="F371" s="8"/>
    </row>
    <row r="372" spans="1:6" s="29" customFormat="1" ht="50.5" customHeight="1" x14ac:dyDescent="0.35">
      <c r="A372" s="20" t="s">
        <v>1436</v>
      </c>
      <c r="B372" s="8" t="s">
        <v>475</v>
      </c>
      <c r="C372" s="8" t="s">
        <v>1437</v>
      </c>
      <c r="D372" s="104" t="s">
        <v>1306</v>
      </c>
      <c r="E372" s="8"/>
      <c r="F372" s="8"/>
    </row>
    <row r="373" spans="1:6" s="102" customFormat="1" ht="50.5" customHeight="1" x14ac:dyDescent="0.35">
      <c r="A373" s="20" t="s">
        <v>1438</v>
      </c>
      <c r="B373" s="8" t="s">
        <v>611</v>
      </c>
      <c r="C373" s="8" t="s">
        <v>1439</v>
      </c>
      <c r="D373" s="104" t="s">
        <v>1387</v>
      </c>
      <c r="E373" s="8"/>
      <c r="F373" s="8"/>
    </row>
    <row r="374" spans="1:6" s="29" customFormat="1" ht="50.5" customHeight="1" x14ac:dyDescent="0.35">
      <c r="A374" s="20" t="s">
        <v>1440</v>
      </c>
      <c r="B374" s="8" t="s">
        <v>561</v>
      </c>
      <c r="C374" s="8" t="s">
        <v>1441</v>
      </c>
      <c r="D374" s="104" t="s">
        <v>1306</v>
      </c>
      <c r="E374" s="8"/>
      <c r="F374" s="8"/>
    </row>
    <row r="375" spans="1:6" s="29" customFormat="1" ht="50.5" customHeight="1" x14ac:dyDescent="0.35">
      <c r="A375" s="20" t="s">
        <v>1442</v>
      </c>
      <c r="B375" s="8" t="s">
        <v>535</v>
      </c>
      <c r="C375" s="8" t="s">
        <v>1443</v>
      </c>
      <c r="D375" s="50" t="s">
        <v>1360</v>
      </c>
      <c r="E375" s="8"/>
      <c r="F375" s="8"/>
    </row>
    <row r="376" spans="1:6" s="29" customFormat="1" ht="50.5" customHeight="1" x14ac:dyDescent="0.35">
      <c r="A376" s="20" t="s">
        <v>1444</v>
      </c>
      <c r="B376" s="8" t="s">
        <v>442</v>
      </c>
      <c r="C376" s="8" t="s">
        <v>1445</v>
      </c>
      <c r="D376" s="104" t="s">
        <v>1387</v>
      </c>
      <c r="E376" s="8"/>
      <c r="F376" s="8"/>
    </row>
    <row r="377" spans="1:6" s="29" customFormat="1" ht="50.5" customHeight="1" x14ac:dyDescent="0.35">
      <c r="A377" s="20" t="s">
        <v>1446</v>
      </c>
      <c r="B377" s="8" t="s">
        <v>442</v>
      </c>
      <c r="C377" s="8" t="s">
        <v>1447</v>
      </c>
      <c r="D377" s="104" t="s">
        <v>1387</v>
      </c>
      <c r="E377" s="8"/>
      <c r="F377" s="8"/>
    </row>
    <row r="378" spans="1:6" s="29" customFormat="1" ht="50.5" customHeight="1" x14ac:dyDescent="0.35">
      <c r="A378" s="20" t="s">
        <v>1448</v>
      </c>
      <c r="B378" s="8" t="s">
        <v>442</v>
      </c>
      <c r="C378" s="8" t="s">
        <v>1449</v>
      </c>
      <c r="D378" s="104" t="s">
        <v>1387</v>
      </c>
      <c r="E378" s="8"/>
      <c r="F378" s="8"/>
    </row>
    <row r="379" spans="1:6" s="29" customFormat="1" ht="50.5" customHeight="1" x14ac:dyDescent="0.35">
      <c r="A379" s="20" t="s">
        <v>1450</v>
      </c>
      <c r="B379" s="8" t="s">
        <v>442</v>
      </c>
      <c r="C379" s="8" t="s">
        <v>1451</v>
      </c>
      <c r="D379" s="104" t="s">
        <v>1387</v>
      </c>
      <c r="E379" s="8"/>
      <c r="F379" s="8"/>
    </row>
    <row r="380" spans="1:6" s="29" customFormat="1" ht="50.5" customHeight="1" x14ac:dyDescent="0.35">
      <c r="A380" s="20" t="s">
        <v>1452</v>
      </c>
      <c r="B380" s="8" t="s">
        <v>442</v>
      </c>
      <c r="C380" s="8" t="s">
        <v>1453</v>
      </c>
      <c r="D380" s="104" t="s">
        <v>1387</v>
      </c>
      <c r="E380" s="8"/>
      <c r="F380" s="8"/>
    </row>
    <row r="381" spans="1:6" s="29" customFormat="1" ht="50.5" customHeight="1" x14ac:dyDescent="0.35">
      <c r="A381" s="20" t="s">
        <v>1454</v>
      </c>
      <c r="B381" s="8" t="s">
        <v>442</v>
      </c>
      <c r="C381" s="8" t="s">
        <v>1455</v>
      </c>
      <c r="D381" s="104" t="s">
        <v>1387</v>
      </c>
      <c r="E381" s="8"/>
      <c r="F381" s="8"/>
    </row>
    <row r="382" spans="1:6" s="29" customFormat="1" ht="50.5" customHeight="1" x14ac:dyDescent="0.35">
      <c r="A382" s="20" t="s">
        <v>1456</v>
      </c>
      <c r="B382" s="8" t="s">
        <v>572</v>
      </c>
      <c r="C382" s="8" t="s">
        <v>1457</v>
      </c>
      <c r="D382" s="104" t="s">
        <v>1458</v>
      </c>
      <c r="E382" s="8"/>
      <c r="F382" s="8" t="s">
        <v>1459</v>
      </c>
    </row>
    <row r="383" spans="1:6" s="29" customFormat="1" ht="50.5" customHeight="1" x14ac:dyDescent="0.35">
      <c r="A383" s="20" t="s">
        <v>1460</v>
      </c>
      <c r="B383" s="8" t="s">
        <v>442</v>
      </c>
      <c r="C383" s="8" t="s">
        <v>1461</v>
      </c>
      <c r="D383" s="104" t="s">
        <v>1458</v>
      </c>
      <c r="E383" s="8"/>
      <c r="F383" s="8" t="s">
        <v>1462</v>
      </c>
    </row>
    <row r="384" spans="1:6" s="29" customFormat="1" ht="50.5" customHeight="1" x14ac:dyDescent="0.35">
      <c r="A384" s="20" t="s">
        <v>1463</v>
      </c>
      <c r="B384" s="8" t="s">
        <v>530</v>
      </c>
      <c r="C384" s="8" t="s">
        <v>1464</v>
      </c>
      <c r="D384" s="104" t="s">
        <v>1458</v>
      </c>
      <c r="E384" s="8"/>
      <c r="F384" s="8" t="s">
        <v>1465</v>
      </c>
    </row>
    <row r="385" spans="1:6" s="29" customFormat="1" ht="50.5" customHeight="1" x14ac:dyDescent="0.35">
      <c r="A385" s="20" t="s">
        <v>1466</v>
      </c>
      <c r="B385" s="8" t="s">
        <v>442</v>
      </c>
      <c r="C385" s="8" t="s">
        <v>1467</v>
      </c>
      <c r="D385" s="104" t="s">
        <v>1458</v>
      </c>
      <c r="E385" s="8"/>
      <c r="F385" s="8"/>
    </row>
    <row r="386" spans="1:6" s="29" customFormat="1" ht="50.5" customHeight="1" x14ac:dyDescent="0.35">
      <c r="A386" s="20" t="s">
        <v>1468</v>
      </c>
      <c r="B386" s="8" t="s">
        <v>442</v>
      </c>
      <c r="C386" s="8" t="s">
        <v>1469</v>
      </c>
      <c r="D386" s="104" t="s">
        <v>1458</v>
      </c>
      <c r="E386" s="8"/>
      <c r="F386" s="8" t="s">
        <v>1462</v>
      </c>
    </row>
    <row r="387" spans="1:6" s="29" customFormat="1" ht="50.5" customHeight="1" x14ac:dyDescent="0.35">
      <c r="A387" s="20" t="s">
        <v>1470</v>
      </c>
      <c r="B387" s="8" t="s">
        <v>495</v>
      </c>
      <c r="C387" s="18" t="s">
        <v>1471</v>
      </c>
      <c r="D387" s="104" t="s">
        <v>1472</v>
      </c>
      <c r="E387" s="104"/>
      <c r="F387" s="8"/>
    </row>
    <row r="388" spans="1:6" s="29" customFormat="1" ht="50.5" customHeight="1" x14ac:dyDescent="0.35">
      <c r="A388" s="20" t="s">
        <v>1473</v>
      </c>
      <c r="B388" s="8" t="s">
        <v>495</v>
      </c>
      <c r="C388" s="18" t="s">
        <v>1474</v>
      </c>
      <c r="D388" s="104" t="s">
        <v>1472</v>
      </c>
      <c r="E388" s="104"/>
      <c r="F388" s="8"/>
    </row>
    <row r="389" spans="1:6" s="29" customFormat="1" ht="50.5" customHeight="1" x14ac:dyDescent="0.35">
      <c r="A389" s="20" t="s">
        <v>1475</v>
      </c>
      <c r="B389" s="8" t="s">
        <v>561</v>
      </c>
      <c r="C389" s="124" t="s">
        <v>1476</v>
      </c>
      <c r="D389" s="104" t="s">
        <v>1472</v>
      </c>
      <c r="E389" s="104"/>
      <c r="F389" s="8"/>
    </row>
    <row r="390" spans="1:6" s="29" customFormat="1" ht="50.5" customHeight="1" x14ac:dyDescent="0.35">
      <c r="A390" s="20" t="s">
        <v>1477</v>
      </c>
      <c r="B390" s="8" t="s">
        <v>561</v>
      </c>
      <c r="C390" s="124" t="s">
        <v>1478</v>
      </c>
      <c r="D390" s="104" t="s">
        <v>1472</v>
      </c>
      <c r="E390" s="104"/>
      <c r="F390" s="8"/>
    </row>
    <row r="391" spans="1:6" ht="50.5" customHeight="1" x14ac:dyDescent="0.35">
      <c r="A391" s="20" t="s">
        <v>1479</v>
      </c>
      <c r="B391" s="8" t="s">
        <v>442</v>
      </c>
      <c r="C391" s="8" t="s">
        <v>1480</v>
      </c>
      <c r="D391" s="104" t="s">
        <v>1472</v>
      </c>
      <c r="E391" s="8"/>
      <c r="F391" s="18" t="s">
        <v>1481</v>
      </c>
    </row>
    <row r="392" spans="1:6" ht="65.25" customHeight="1" x14ac:dyDescent="0.35">
      <c r="A392" s="20" t="s">
        <v>1482</v>
      </c>
      <c r="B392" s="8" t="s">
        <v>561</v>
      </c>
      <c r="C392" s="8" t="s">
        <v>1483</v>
      </c>
      <c r="D392" s="50" t="s">
        <v>1484</v>
      </c>
      <c r="E392" s="8"/>
      <c r="F392" s="8"/>
    </row>
    <row r="393" spans="1:6" ht="50.5" customHeight="1" x14ac:dyDescent="0.35">
      <c r="A393" s="20" t="s">
        <v>1485</v>
      </c>
      <c r="B393" s="8" t="s">
        <v>475</v>
      </c>
      <c r="C393" s="8" t="s">
        <v>1486</v>
      </c>
      <c r="D393" s="104" t="s">
        <v>1487</v>
      </c>
      <c r="E393" s="8"/>
      <c r="F393" s="8"/>
    </row>
    <row r="394" spans="1:6" ht="50.5" customHeight="1" x14ac:dyDescent="0.35">
      <c r="A394" s="20" t="s">
        <v>1488</v>
      </c>
      <c r="B394" s="8" t="s">
        <v>475</v>
      </c>
      <c r="C394" s="18" t="s">
        <v>1489</v>
      </c>
      <c r="D394" s="104" t="s">
        <v>1487</v>
      </c>
      <c r="E394" s="8"/>
      <c r="F394" s="8"/>
    </row>
    <row r="395" spans="1:6" ht="50.5" customHeight="1" x14ac:dyDescent="0.35">
      <c r="A395" s="90" t="s">
        <v>1490</v>
      </c>
      <c r="B395" s="93" t="s">
        <v>475</v>
      </c>
      <c r="C395" s="93" t="s">
        <v>1491</v>
      </c>
      <c r="D395" s="104" t="s">
        <v>1492</v>
      </c>
      <c r="E395" s="8"/>
      <c r="F395" s="8"/>
    </row>
    <row r="396" spans="1:6" s="102" customFormat="1" ht="50.5" customHeight="1" x14ac:dyDescent="0.35">
      <c r="A396" s="90" t="s">
        <v>1493</v>
      </c>
      <c r="B396" s="93" t="s">
        <v>495</v>
      </c>
      <c r="C396" s="93" t="s">
        <v>1494</v>
      </c>
      <c r="D396" s="104" t="s">
        <v>1495</v>
      </c>
      <c r="E396" s="93"/>
      <c r="F396" s="93"/>
    </row>
    <row r="397" spans="1:6" s="102" customFormat="1" ht="50.5" customHeight="1" x14ac:dyDescent="0.35">
      <c r="A397" s="90" t="s">
        <v>1496</v>
      </c>
      <c r="B397" s="93" t="s">
        <v>475</v>
      </c>
      <c r="C397" s="93" t="s">
        <v>1497</v>
      </c>
      <c r="D397" s="104" t="s">
        <v>1495</v>
      </c>
      <c r="E397" s="93"/>
      <c r="F397" s="93"/>
    </row>
    <row r="398" spans="1:6" s="29" customFormat="1" ht="50.5" customHeight="1" x14ac:dyDescent="0.35">
      <c r="A398" s="20" t="s">
        <v>1498</v>
      </c>
      <c r="B398" s="8" t="s">
        <v>535</v>
      </c>
      <c r="C398" s="8" t="s">
        <v>1499</v>
      </c>
      <c r="D398" s="50" t="s">
        <v>1500</v>
      </c>
      <c r="E398" s="8" t="s">
        <v>533</v>
      </c>
      <c r="F398" s="8" t="s">
        <v>1501</v>
      </c>
    </row>
    <row r="399" spans="1:6" s="29" customFormat="1" ht="50.5" customHeight="1" x14ac:dyDescent="0.35">
      <c r="A399" s="20" t="s">
        <v>1502</v>
      </c>
      <c r="B399" s="8" t="s">
        <v>535</v>
      </c>
      <c r="C399" s="8" t="s">
        <v>1503</v>
      </c>
      <c r="D399" s="50" t="s">
        <v>1472</v>
      </c>
      <c r="E399" s="196"/>
      <c r="F399" s="18" t="s">
        <v>1504</v>
      </c>
    </row>
    <row r="400" spans="1:6" ht="50.5" customHeight="1" x14ac:dyDescent="0.35">
      <c r="A400" s="8">
        <v>305.60000000000002</v>
      </c>
      <c r="B400" s="8" t="s">
        <v>475</v>
      </c>
      <c r="C400" s="8" t="s">
        <v>1505</v>
      </c>
      <c r="D400" s="8" t="s">
        <v>1506</v>
      </c>
      <c r="E400" s="18"/>
      <c r="F400" s="18" t="s">
        <v>1507</v>
      </c>
    </row>
    <row r="401" spans="1:6" s="29" customFormat="1" ht="50.5" customHeight="1" x14ac:dyDescent="0.35">
      <c r="A401" s="8">
        <v>305.7</v>
      </c>
      <c r="B401" s="8" t="s">
        <v>475</v>
      </c>
      <c r="C401" s="8" t="s">
        <v>1508</v>
      </c>
      <c r="D401" s="8" t="s">
        <v>1506</v>
      </c>
      <c r="E401" s="8"/>
      <c r="F401" s="18" t="s">
        <v>1507</v>
      </c>
    </row>
    <row r="402" spans="1:6" s="29" customFormat="1" ht="50.5" customHeight="1" x14ac:dyDescent="0.35">
      <c r="A402" s="20" t="s">
        <v>1509</v>
      </c>
      <c r="B402" s="8" t="s">
        <v>530</v>
      </c>
      <c r="C402" s="18" t="s">
        <v>1510</v>
      </c>
      <c r="D402" s="8" t="s">
        <v>1506</v>
      </c>
      <c r="E402" s="8"/>
      <c r="F402" s="18" t="s">
        <v>1511</v>
      </c>
    </row>
    <row r="403" spans="1:6" ht="50.5" customHeight="1" x14ac:dyDescent="0.35">
      <c r="A403" s="8">
        <v>369.1</v>
      </c>
      <c r="B403" s="8" t="s">
        <v>468</v>
      </c>
      <c r="C403" s="8" t="s">
        <v>1512</v>
      </c>
      <c r="D403" s="8" t="s">
        <v>1506</v>
      </c>
      <c r="E403" s="8"/>
      <c r="F403" s="18" t="s">
        <v>1507</v>
      </c>
    </row>
    <row r="404" spans="1:6" ht="50.5" customHeight="1" x14ac:dyDescent="0.35">
      <c r="A404" s="8">
        <v>369.5</v>
      </c>
      <c r="B404" s="8" t="s">
        <v>468</v>
      </c>
      <c r="C404" s="8" t="s">
        <v>1513</v>
      </c>
      <c r="D404" s="8" t="s">
        <v>1506</v>
      </c>
      <c r="E404" s="8"/>
      <c r="F404" s="18" t="s">
        <v>1514</v>
      </c>
    </row>
    <row r="405" spans="1:6" ht="50.5" customHeight="1" x14ac:dyDescent="0.35">
      <c r="A405" s="8">
        <v>369.11</v>
      </c>
      <c r="B405" s="8" t="s">
        <v>468</v>
      </c>
      <c r="C405" s="8" t="s">
        <v>1515</v>
      </c>
      <c r="D405" s="8" t="s">
        <v>1506</v>
      </c>
      <c r="E405" s="8"/>
      <c r="F405" s="18" t="s">
        <v>1507</v>
      </c>
    </row>
    <row r="406" spans="1:6" ht="50.5" customHeight="1" x14ac:dyDescent="0.35">
      <c r="A406" s="8">
        <v>369.12</v>
      </c>
      <c r="B406" s="8" t="s">
        <v>468</v>
      </c>
      <c r="C406" s="8" t="s">
        <v>1516</v>
      </c>
      <c r="D406" s="8" t="s">
        <v>1506</v>
      </c>
      <c r="E406" s="8"/>
      <c r="F406" s="18" t="s">
        <v>1507</v>
      </c>
    </row>
    <row r="407" spans="1:6" ht="50.5" customHeight="1" x14ac:dyDescent="0.35">
      <c r="A407" s="8" t="s">
        <v>1517</v>
      </c>
      <c r="B407" s="8" t="s">
        <v>442</v>
      </c>
      <c r="C407" s="8" t="s">
        <v>1518</v>
      </c>
      <c r="D407" s="8" t="s">
        <v>1519</v>
      </c>
      <c r="E407" s="8"/>
      <c r="F407" s="18"/>
    </row>
    <row r="408" spans="1:6" ht="50.5" customHeight="1" x14ac:dyDescent="0.35">
      <c r="A408" s="8" t="s">
        <v>1520</v>
      </c>
      <c r="B408" s="8" t="s">
        <v>442</v>
      </c>
      <c r="C408" s="8" t="s">
        <v>1521</v>
      </c>
      <c r="D408" s="8" t="s">
        <v>1519</v>
      </c>
      <c r="E408" s="8"/>
      <c r="F408" s="18"/>
    </row>
    <row r="409" spans="1:6" ht="66.650000000000006" customHeight="1" x14ac:dyDescent="0.35">
      <c r="A409" s="8" t="s">
        <v>1522</v>
      </c>
      <c r="B409" s="8" t="s">
        <v>442</v>
      </c>
      <c r="C409" s="8" t="s">
        <v>1523</v>
      </c>
      <c r="D409" s="8" t="s">
        <v>1519</v>
      </c>
      <c r="E409" s="8"/>
      <c r="F409" s="8"/>
    </row>
    <row r="410" spans="1:6" ht="70" customHeight="1" x14ac:dyDescent="0.35">
      <c r="A410" s="20" t="s">
        <v>1524</v>
      </c>
      <c r="B410" s="8" t="s">
        <v>442</v>
      </c>
      <c r="C410" s="8" t="s">
        <v>1525</v>
      </c>
      <c r="D410" s="8" t="s">
        <v>1506</v>
      </c>
      <c r="E410" s="8"/>
      <c r="F410" s="18" t="s">
        <v>1526</v>
      </c>
    </row>
    <row r="411" spans="1:6" s="29" customFormat="1" ht="66.650000000000006" customHeight="1" x14ac:dyDescent="0.35">
      <c r="A411" s="20" t="s">
        <v>1527</v>
      </c>
      <c r="B411" s="8" t="s">
        <v>475</v>
      </c>
      <c r="C411" s="8" t="s">
        <v>1528</v>
      </c>
      <c r="D411" s="104" t="s">
        <v>1529</v>
      </c>
      <c r="E411" s="8"/>
      <c r="F411" s="8" t="s">
        <v>1530</v>
      </c>
    </row>
    <row r="412" spans="1:6" ht="50.5" customHeight="1" x14ac:dyDescent="0.35">
      <c r="A412" s="20" t="s">
        <v>1531</v>
      </c>
      <c r="B412" s="8" t="s">
        <v>495</v>
      </c>
      <c r="C412" s="8" t="s">
        <v>1532</v>
      </c>
      <c r="D412" s="104" t="s">
        <v>1533</v>
      </c>
      <c r="E412" s="20"/>
      <c r="F412" s="8"/>
    </row>
    <row r="413" spans="1:6" s="29" customFormat="1" ht="50.5" customHeight="1" x14ac:dyDescent="0.35">
      <c r="A413" s="20" t="s">
        <v>1534</v>
      </c>
      <c r="B413" s="8" t="s">
        <v>611</v>
      </c>
      <c r="C413" s="8" t="s">
        <v>1535</v>
      </c>
      <c r="D413" s="104" t="s">
        <v>1536</v>
      </c>
      <c r="E413" s="50"/>
      <c r="F413" s="61"/>
    </row>
    <row r="414" spans="1:6" s="29" customFormat="1" ht="50.5" customHeight="1" x14ac:dyDescent="0.35">
      <c r="A414" s="20" t="s">
        <v>1537</v>
      </c>
      <c r="B414" s="8" t="s">
        <v>475</v>
      </c>
      <c r="C414" s="8" t="s">
        <v>1538</v>
      </c>
      <c r="D414" s="104" t="s">
        <v>1536</v>
      </c>
      <c r="E414" s="104"/>
      <c r="F414" s="8"/>
    </row>
    <row r="415" spans="1:6" s="29" customFormat="1" ht="50.5" customHeight="1" x14ac:dyDescent="0.35">
      <c r="A415" s="20" t="s">
        <v>1539</v>
      </c>
      <c r="B415" s="8" t="s">
        <v>475</v>
      </c>
      <c r="C415" s="8" t="s">
        <v>1540</v>
      </c>
      <c r="D415" s="104" t="s">
        <v>1536</v>
      </c>
      <c r="E415" s="20"/>
      <c r="F415" s="8"/>
    </row>
    <row r="416" spans="1:6" s="29" customFormat="1" ht="50.5" customHeight="1" x14ac:dyDescent="0.35">
      <c r="A416" s="20" t="s">
        <v>1541</v>
      </c>
      <c r="B416" s="8" t="s">
        <v>475</v>
      </c>
      <c r="C416" s="8" t="s">
        <v>1542</v>
      </c>
      <c r="D416" s="104" t="s">
        <v>1536</v>
      </c>
      <c r="E416" s="20"/>
      <c r="F416" s="8"/>
    </row>
    <row r="417" spans="1:6" s="29" customFormat="1" ht="50.5" customHeight="1" x14ac:dyDescent="0.35">
      <c r="A417" s="20" t="s">
        <v>1543</v>
      </c>
      <c r="B417" s="8" t="s">
        <v>495</v>
      </c>
      <c r="C417" s="8" t="s">
        <v>1544</v>
      </c>
      <c r="D417" s="104" t="s">
        <v>1536</v>
      </c>
      <c r="E417" s="20"/>
      <c r="F417" s="8"/>
    </row>
    <row r="418" spans="1:6" s="29" customFormat="1" ht="50.5" customHeight="1" x14ac:dyDescent="0.35">
      <c r="A418" s="20" t="s">
        <v>1545</v>
      </c>
      <c r="B418" s="8" t="s">
        <v>495</v>
      </c>
      <c r="C418" s="8" t="s">
        <v>1546</v>
      </c>
      <c r="D418" s="104" t="s">
        <v>1536</v>
      </c>
      <c r="E418" s="20"/>
      <c r="F418" s="8"/>
    </row>
    <row r="419" spans="1:6" s="29" customFormat="1" ht="50.5" customHeight="1" x14ac:dyDescent="0.35">
      <c r="A419" s="20" t="s">
        <v>1547</v>
      </c>
      <c r="B419" s="8" t="s">
        <v>495</v>
      </c>
      <c r="C419" s="8" t="s">
        <v>1548</v>
      </c>
      <c r="D419" s="104" t="s">
        <v>1536</v>
      </c>
      <c r="E419" s="20"/>
      <c r="F419" s="8"/>
    </row>
    <row r="420" spans="1:6" s="29" customFormat="1" ht="50.5" customHeight="1" x14ac:dyDescent="0.35">
      <c r="A420" s="20" t="s">
        <v>1549</v>
      </c>
      <c r="B420" s="8" t="s">
        <v>495</v>
      </c>
      <c r="C420" s="8" t="s">
        <v>1550</v>
      </c>
      <c r="D420" s="104" t="s">
        <v>1536</v>
      </c>
      <c r="E420" s="20"/>
      <c r="F420" s="8"/>
    </row>
    <row r="421" spans="1:6" ht="50.5" customHeight="1" x14ac:dyDescent="0.35">
      <c r="A421" s="20" t="s">
        <v>1551</v>
      </c>
      <c r="B421" s="8" t="s">
        <v>561</v>
      </c>
      <c r="C421" s="8" t="s">
        <v>1552</v>
      </c>
      <c r="D421" s="104" t="s">
        <v>1553</v>
      </c>
      <c r="E421" s="50"/>
      <c r="F421" s="8"/>
    </row>
    <row r="422" spans="1:6" s="29" customFormat="1" ht="98.15" customHeight="1" x14ac:dyDescent="0.35">
      <c r="A422" s="20" t="s">
        <v>1554</v>
      </c>
      <c r="B422" s="8" t="s">
        <v>475</v>
      </c>
      <c r="C422" s="8" t="s">
        <v>1555</v>
      </c>
      <c r="D422" s="8" t="s">
        <v>1556</v>
      </c>
      <c r="E422" s="50"/>
      <c r="F422" s="8"/>
    </row>
    <row r="423" spans="1:6" s="29" customFormat="1" ht="50.5" customHeight="1" x14ac:dyDescent="0.35">
      <c r="A423" s="20" t="s">
        <v>1557</v>
      </c>
      <c r="B423" s="8" t="s">
        <v>495</v>
      </c>
      <c r="C423" s="8" t="s">
        <v>1558</v>
      </c>
      <c r="D423" s="8" t="s">
        <v>1559</v>
      </c>
      <c r="E423" s="20"/>
      <c r="F423" s="8" t="s">
        <v>1560</v>
      </c>
    </row>
    <row r="424" spans="1:6" s="29" customFormat="1" ht="50.5" customHeight="1" x14ac:dyDescent="0.35">
      <c r="A424" s="20" t="s">
        <v>1561</v>
      </c>
      <c r="B424" s="8" t="s">
        <v>530</v>
      </c>
      <c r="C424" s="8" t="s">
        <v>1562</v>
      </c>
      <c r="D424" s="8" t="s">
        <v>1563</v>
      </c>
      <c r="E424" s="50"/>
      <c r="F424" s="8"/>
    </row>
    <row r="425" spans="1:6" s="29" customFormat="1" ht="50.5" customHeight="1" x14ac:dyDescent="0.35">
      <c r="A425" s="20" t="s">
        <v>1564</v>
      </c>
      <c r="B425" s="8" t="s">
        <v>495</v>
      </c>
      <c r="C425" s="8" t="s">
        <v>1565</v>
      </c>
      <c r="D425" s="8" t="s">
        <v>1566</v>
      </c>
      <c r="E425" s="50"/>
      <c r="F425" s="8"/>
    </row>
    <row r="426" spans="1:6" s="29" customFormat="1" ht="50.5" customHeight="1" x14ac:dyDescent="0.35">
      <c r="A426" s="20" t="s">
        <v>1567</v>
      </c>
      <c r="B426" s="8" t="s">
        <v>495</v>
      </c>
      <c r="C426" s="8" t="s">
        <v>1568</v>
      </c>
      <c r="D426" s="8" t="s">
        <v>1569</v>
      </c>
      <c r="E426" s="20"/>
      <c r="F426" s="8"/>
    </row>
    <row r="427" spans="1:6" s="29" customFormat="1" ht="50.5" customHeight="1" x14ac:dyDescent="0.35">
      <c r="A427" s="8">
        <v>369.3</v>
      </c>
      <c r="B427" s="8" t="s">
        <v>468</v>
      </c>
      <c r="C427" s="8" t="s">
        <v>1570</v>
      </c>
      <c r="D427" s="18" t="s">
        <v>1571</v>
      </c>
      <c r="E427" s="50"/>
      <c r="F427" s="8" t="s">
        <v>1572</v>
      </c>
    </row>
    <row r="428" spans="1:6" s="29" customFormat="1" ht="50.5" customHeight="1" x14ac:dyDescent="0.35">
      <c r="A428" s="20" t="s">
        <v>1573</v>
      </c>
      <c r="B428" s="8" t="s">
        <v>442</v>
      </c>
      <c r="C428" s="8" t="s">
        <v>1574</v>
      </c>
      <c r="D428" s="18" t="s">
        <v>1575</v>
      </c>
      <c r="E428" s="50"/>
      <c r="F428" s="8"/>
    </row>
    <row r="429" spans="1:6" s="29" customFormat="1" ht="50.5" customHeight="1" x14ac:dyDescent="0.35">
      <c r="A429" s="20" t="s">
        <v>1576</v>
      </c>
      <c r="B429" s="8" t="s">
        <v>495</v>
      </c>
      <c r="C429" s="8" t="s">
        <v>1577</v>
      </c>
      <c r="D429" s="18" t="s">
        <v>1575</v>
      </c>
      <c r="E429" s="20"/>
      <c r="F429" s="8"/>
    </row>
    <row r="430" spans="1:6" s="29" customFormat="1" ht="50.5" customHeight="1" x14ac:dyDescent="0.35">
      <c r="A430" s="20" t="s">
        <v>1578</v>
      </c>
      <c r="B430" s="8" t="s">
        <v>495</v>
      </c>
      <c r="C430" s="8" t="s">
        <v>1579</v>
      </c>
      <c r="D430" s="18" t="s">
        <v>1575</v>
      </c>
      <c r="E430" s="50"/>
      <c r="F430" s="8"/>
    </row>
    <row r="431" spans="1:6" s="29" customFormat="1" ht="50.5" customHeight="1" x14ac:dyDescent="0.35">
      <c r="A431" s="107">
        <v>504</v>
      </c>
      <c r="B431" s="8" t="s">
        <v>495</v>
      </c>
      <c r="C431" s="8" t="s">
        <v>1580</v>
      </c>
      <c r="D431" s="18" t="s">
        <v>1575</v>
      </c>
      <c r="E431" s="206"/>
      <c r="F431" s="8" t="s">
        <v>1581</v>
      </c>
    </row>
    <row r="432" spans="1:6" s="29" customFormat="1" ht="50.5" customHeight="1" x14ac:dyDescent="0.35">
      <c r="A432" s="107">
        <v>505</v>
      </c>
      <c r="B432" s="8" t="s">
        <v>475</v>
      </c>
      <c r="C432" s="8" t="s">
        <v>1582</v>
      </c>
      <c r="D432" s="18" t="s">
        <v>1575</v>
      </c>
      <c r="E432" s="206"/>
      <c r="F432" s="8"/>
    </row>
    <row r="433" spans="1:6" ht="56.5" customHeight="1" x14ac:dyDescent="0.35">
      <c r="A433" s="8" t="s">
        <v>1583</v>
      </c>
      <c r="B433" s="8" t="s">
        <v>442</v>
      </c>
      <c r="C433" s="8" t="s">
        <v>1584</v>
      </c>
      <c r="D433" s="18" t="s">
        <v>1575</v>
      </c>
      <c r="E433" s="20"/>
      <c r="F433" s="8" t="s">
        <v>1585</v>
      </c>
    </row>
    <row r="434" spans="1:6" ht="68.150000000000006" customHeight="1" x14ac:dyDescent="0.35">
      <c r="A434" s="8" t="s">
        <v>1586</v>
      </c>
      <c r="B434" s="8" t="s">
        <v>442</v>
      </c>
      <c r="C434" s="8" t="s">
        <v>1587</v>
      </c>
      <c r="D434" s="18" t="s">
        <v>1575</v>
      </c>
      <c r="E434" s="20"/>
      <c r="F434" s="8" t="s">
        <v>1585</v>
      </c>
    </row>
    <row r="435" spans="1:6" s="29" customFormat="1" ht="50.5" customHeight="1" x14ac:dyDescent="0.35">
      <c r="A435" s="20" t="s">
        <v>1588</v>
      </c>
      <c r="B435" s="8" t="s">
        <v>572</v>
      </c>
      <c r="C435" s="8" t="s">
        <v>1589</v>
      </c>
      <c r="D435" s="8" t="s">
        <v>1590</v>
      </c>
      <c r="E435" s="50"/>
      <c r="F435" s="8"/>
    </row>
    <row r="436" spans="1:6" s="29" customFormat="1" ht="50.5" customHeight="1" x14ac:dyDescent="0.35">
      <c r="A436" s="20" t="s">
        <v>1591</v>
      </c>
      <c r="B436" s="8" t="s">
        <v>561</v>
      </c>
      <c r="C436" s="18" t="s">
        <v>1592</v>
      </c>
      <c r="D436" s="8" t="s">
        <v>1590</v>
      </c>
      <c r="E436" s="50"/>
      <c r="F436" s="8"/>
    </row>
    <row r="437" spans="1:6" s="29" customFormat="1" ht="50.5" customHeight="1" x14ac:dyDescent="0.35">
      <c r="A437" s="20" t="s">
        <v>1593</v>
      </c>
      <c r="B437" s="8" t="s">
        <v>561</v>
      </c>
      <c r="C437" s="8" t="s">
        <v>1594</v>
      </c>
      <c r="D437" s="8" t="s">
        <v>1590</v>
      </c>
      <c r="E437" s="50"/>
      <c r="F437" s="8"/>
    </row>
    <row r="438" spans="1:6" s="29" customFormat="1" ht="50.5" customHeight="1" x14ac:dyDescent="0.35">
      <c r="A438" s="20" t="s">
        <v>1595</v>
      </c>
      <c r="B438" s="8" t="s">
        <v>442</v>
      </c>
      <c r="C438" s="8" t="s">
        <v>1596</v>
      </c>
      <c r="D438" s="8" t="s">
        <v>1590</v>
      </c>
      <c r="E438" s="20"/>
      <c r="F438" s="8"/>
    </row>
    <row r="439" spans="1:6" s="29" customFormat="1" ht="50.5" customHeight="1" x14ac:dyDescent="0.35">
      <c r="A439" s="20" t="s">
        <v>1597</v>
      </c>
      <c r="B439" s="8" t="s">
        <v>495</v>
      </c>
      <c r="C439" s="8" t="s">
        <v>1598</v>
      </c>
      <c r="D439" s="8" t="s">
        <v>1590</v>
      </c>
      <c r="E439" s="20"/>
      <c r="F439" s="8"/>
    </row>
    <row r="440" spans="1:6" s="29" customFormat="1" ht="50.5" customHeight="1" x14ac:dyDescent="0.35">
      <c r="A440" s="20" t="s">
        <v>1599</v>
      </c>
      <c r="B440" s="8" t="s">
        <v>535</v>
      </c>
      <c r="C440" s="8" t="s">
        <v>1600</v>
      </c>
      <c r="D440" s="8" t="s">
        <v>1590</v>
      </c>
      <c r="E440" s="20"/>
      <c r="F440" s="8"/>
    </row>
    <row r="441" spans="1:6" s="29" customFormat="1" ht="50.5" customHeight="1" x14ac:dyDescent="0.35">
      <c r="A441" s="20" t="s">
        <v>1601</v>
      </c>
      <c r="B441" s="8" t="s">
        <v>535</v>
      </c>
      <c r="C441" s="8" t="s">
        <v>1602</v>
      </c>
      <c r="D441" s="8" t="s">
        <v>1590</v>
      </c>
      <c r="E441" s="20"/>
      <c r="F441" s="8"/>
    </row>
    <row r="442" spans="1:6" s="29" customFormat="1" ht="50.5" customHeight="1" x14ac:dyDescent="0.35">
      <c r="A442" s="107">
        <v>500</v>
      </c>
      <c r="B442" s="8" t="s">
        <v>495</v>
      </c>
      <c r="C442" s="8" t="s">
        <v>1603</v>
      </c>
      <c r="D442" s="8" t="s">
        <v>1590</v>
      </c>
      <c r="E442" s="20"/>
      <c r="F442" s="8"/>
    </row>
    <row r="443" spans="1:6" s="29" customFormat="1" ht="50.5" customHeight="1" x14ac:dyDescent="0.35">
      <c r="A443" s="106">
        <v>369.8</v>
      </c>
      <c r="B443" s="8" t="s">
        <v>468</v>
      </c>
      <c r="C443" s="8" t="s">
        <v>1604</v>
      </c>
      <c r="D443" s="8" t="s">
        <v>1590</v>
      </c>
      <c r="E443" s="50"/>
      <c r="F443" s="8" t="s">
        <v>1605</v>
      </c>
    </row>
    <row r="444" spans="1:6" s="29" customFormat="1" ht="50.5" customHeight="1" x14ac:dyDescent="0.35">
      <c r="A444" s="8">
        <v>369.7</v>
      </c>
      <c r="B444" s="8" t="s">
        <v>468</v>
      </c>
      <c r="C444" s="8" t="s">
        <v>1606</v>
      </c>
      <c r="D444" s="18" t="s">
        <v>1607</v>
      </c>
      <c r="E444" s="50"/>
      <c r="F444" s="8" t="s">
        <v>1608</v>
      </c>
    </row>
    <row r="445" spans="1:6" s="29" customFormat="1" ht="50.5" customHeight="1" x14ac:dyDescent="0.35">
      <c r="A445" s="106">
        <v>369.9</v>
      </c>
      <c r="B445" s="8" t="s">
        <v>468</v>
      </c>
      <c r="C445" s="8" t="s">
        <v>1609</v>
      </c>
      <c r="D445" s="18" t="s">
        <v>1610</v>
      </c>
      <c r="E445" s="50"/>
      <c r="F445" s="8" t="s">
        <v>1611</v>
      </c>
    </row>
    <row r="446" spans="1:6" s="29" customFormat="1" ht="50.5" customHeight="1" x14ac:dyDescent="0.35">
      <c r="A446" s="106">
        <v>369.2</v>
      </c>
      <c r="B446" s="8" t="s">
        <v>468</v>
      </c>
      <c r="C446" s="8" t="s">
        <v>1612</v>
      </c>
      <c r="D446" s="18" t="s">
        <v>1607</v>
      </c>
      <c r="E446" s="50"/>
      <c r="F446" s="8" t="s">
        <v>1613</v>
      </c>
    </row>
    <row r="447" spans="1:6" s="29" customFormat="1" ht="50.5" customHeight="1" x14ac:dyDescent="0.35">
      <c r="A447" s="20" t="s">
        <v>1614</v>
      </c>
      <c r="B447" s="8" t="s">
        <v>535</v>
      </c>
      <c r="C447" s="8" t="s">
        <v>1615</v>
      </c>
      <c r="D447" s="8" t="s">
        <v>1590</v>
      </c>
      <c r="E447" s="20"/>
      <c r="F447" s="8"/>
    </row>
    <row r="448" spans="1:6" s="29" customFormat="1" ht="60.65" customHeight="1" x14ac:dyDescent="0.35">
      <c r="A448" s="20" t="s">
        <v>1616</v>
      </c>
      <c r="B448" s="8" t="s">
        <v>1617</v>
      </c>
      <c r="C448" s="8" t="s">
        <v>1618</v>
      </c>
      <c r="D448" s="8" t="s">
        <v>1590</v>
      </c>
      <c r="E448" s="20"/>
      <c r="F448" s="8"/>
    </row>
    <row r="449" spans="1:6" s="29" customFormat="1" ht="58" customHeight="1" x14ac:dyDescent="0.35">
      <c r="A449" s="20" t="s">
        <v>1619</v>
      </c>
      <c r="B449" s="93" t="s">
        <v>535</v>
      </c>
      <c r="C449" s="8" t="s">
        <v>1620</v>
      </c>
      <c r="D449" s="8" t="s">
        <v>1590</v>
      </c>
      <c r="E449" s="20"/>
      <c r="F449" s="8"/>
    </row>
    <row r="450" spans="1:6" s="102" customFormat="1" ht="50.5" customHeight="1" x14ac:dyDescent="0.35">
      <c r="A450" s="106" t="s">
        <v>1621</v>
      </c>
      <c r="B450" s="8" t="s">
        <v>530</v>
      </c>
      <c r="C450" s="8" t="s">
        <v>1622</v>
      </c>
      <c r="D450" s="8" t="s">
        <v>1623</v>
      </c>
      <c r="E450" s="104"/>
      <c r="F450" s="93" t="s">
        <v>1624</v>
      </c>
    </row>
    <row r="451" spans="1:6" ht="59.15" customHeight="1" x14ac:dyDescent="0.35">
      <c r="A451" s="20" t="s">
        <v>1625</v>
      </c>
      <c r="B451" s="8" t="s">
        <v>535</v>
      </c>
      <c r="C451" s="8" t="s">
        <v>1626</v>
      </c>
      <c r="D451" s="8" t="s">
        <v>1627</v>
      </c>
      <c r="E451" s="50"/>
      <c r="F451" s="8" t="s">
        <v>1628</v>
      </c>
    </row>
    <row r="452" spans="1:6" s="29" customFormat="1" ht="50.5" customHeight="1" x14ac:dyDescent="0.35">
      <c r="A452" s="20" t="s">
        <v>1629</v>
      </c>
      <c r="B452" s="8" t="s">
        <v>495</v>
      </c>
      <c r="C452" s="8" t="s">
        <v>1630</v>
      </c>
      <c r="D452" s="8" t="s">
        <v>1631</v>
      </c>
      <c r="E452" s="50"/>
      <c r="F452" s="8"/>
    </row>
    <row r="453" spans="1:6" s="29" customFormat="1" ht="50.5" customHeight="1" x14ac:dyDescent="0.35">
      <c r="A453" s="20" t="s">
        <v>1632</v>
      </c>
      <c r="B453" s="8" t="s">
        <v>495</v>
      </c>
      <c r="C453" s="8" t="s">
        <v>1633</v>
      </c>
      <c r="D453" s="8" t="s">
        <v>1631</v>
      </c>
      <c r="E453" s="50"/>
      <c r="F453" s="123" t="s">
        <v>299</v>
      </c>
    </row>
    <row r="454" spans="1:6" s="29" customFormat="1" ht="50.5" customHeight="1" x14ac:dyDescent="0.35">
      <c r="A454" s="20" t="s">
        <v>1634</v>
      </c>
      <c r="B454" s="8" t="s">
        <v>495</v>
      </c>
      <c r="C454" s="8" t="s">
        <v>1635</v>
      </c>
      <c r="D454" s="8" t="s">
        <v>1631</v>
      </c>
      <c r="E454" s="50"/>
      <c r="F454" s="8"/>
    </row>
    <row r="455" spans="1:6" s="29" customFormat="1" ht="50.5" customHeight="1" x14ac:dyDescent="0.35">
      <c r="A455" s="20" t="s">
        <v>1636</v>
      </c>
      <c r="B455" s="8" t="s">
        <v>495</v>
      </c>
      <c r="C455" s="8" t="s">
        <v>1637</v>
      </c>
      <c r="D455" s="8" t="s">
        <v>1631</v>
      </c>
      <c r="E455" s="50"/>
      <c r="F455" s="8"/>
    </row>
    <row r="456" spans="1:6" s="29" customFormat="1" ht="50.5" customHeight="1" x14ac:dyDescent="0.35">
      <c r="A456" s="107">
        <v>502</v>
      </c>
      <c r="B456" s="8" t="s">
        <v>495</v>
      </c>
      <c r="C456" s="8" t="s">
        <v>1638</v>
      </c>
      <c r="D456" s="8" t="s">
        <v>1631</v>
      </c>
      <c r="E456" s="50"/>
      <c r="F456" s="8"/>
    </row>
    <row r="457" spans="1:6" s="29" customFormat="1" ht="50.5" customHeight="1" x14ac:dyDescent="0.35">
      <c r="A457" s="107">
        <v>503</v>
      </c>
      <c r="B457" s="8" t="s">
        <v>495</v>
      </c>
      <c r="C457" s="8" t="s">
        <v>1639</v>
      </c>
      <c r="D457" s="8" t="s">
        <v>1631</v>
      </c>
      <c r="E457" s="50"/>
      <c r="F457" s="8"/>
    </row>
    <row r="458" spans="1:6" s="29" customFormat="1" ht="50.5" customHeight="1" x14ac:dyDescent="0.35">
      <c r="A458" s="107">
        <v>506</v>
      </c>
      <c r="B458" s="8" t="s">
        <v>495</v>
      </c>
      <c r="C458" s="8" t="s">
        <v>1640</v>
      </c>
      <c r="D458" s="8" t="s">
        <v>1631</v>
      </c>
      <c r="E458" s="50"/>
      <c r="F458" s="8"/>
    </row>
    <row r="459" spans="1:6" ht="101.15" customHeight="1" x14ac:dyDescent="0.35">
      <c r="A459" s="50" t="s">
        <v>1641</v>
      </c>
      <c r="B459" s="18" t="s">
        <v>495</v>
      </c>
      <c r="C459" s="18" t="s">
        <v>1642</v>
      </c>
      <c r="D459" s="50" t="s">
        <v>1643</v>
      </c>
      <c r="E459" s="50"/>
      <c r="F459" s="18" t="s">
        <v>1644</v>
      </c>
    </row>
    <row r="460" spans="1:6" ht="50.5" customHeight="1" x14ac:dyDescent="0.35">
      <c r="A460" s="20" t="s">
        <v>1645</v>
      </c>
      <c r="B460" s="8" t="s">
        <v>495</v>
      </c>
      <c r="C460" s="8" t="s">
        <v>1646</v>
      </c>
      <c r="D460" s="50" t="s">
        <v>1643</v>
      </c>
      <c r="E460" s="50"/>
      <c r="F460" s="8" t="s">
        <v>1647</v>
      </c>
    </row>
    <row r="461" spans="1:6" ht="155.5" customHeight="1" x14ac:dyDescent="0.35">
      <c r="A461" s="20" t="s">
        <v>1648</v>
      </c>
      <c r="B461" s="8" t="s">
        <v>475</v>
      </c>
      <c r="C461" s="8" t="s">
        <v>1649</v>
      </c>
      <c r="D461" s="50" t="s">
        <v>1643</v>
      </c>
      <c r="E461" s="50"/>
      <c r="F461" s="8" t="s">
        <v>1650</v>
      </c>
    </row>
    <row r="462" spans="1:6" ht="50.5" customHeight="1" x14ac:dyDescent="0.35">
      <c r="A462" s="50" t="s">
        <v>1651</v>
      </c>
      <c r="B462" s="18" t="s">
        <v>535</v>
      </c>
      <c r="C462" s="18" t="s">
        <v>1652</v>
      </c>
      <c r="D462" s="50" t="s">
        <v>1643</v>
      </c>
      <c r="E462" s="20"/>
      <c r="F462" s="8" t="s">
        <v>1653</v>
      </c>
    </row>
    <row r="463" spans="1:6" ht="95.15" customHeight="1" x14ac:dyDescent="0.35">
      <c r="A463" s="20" t="s">
        <v>1654</v>
      </c>
      <c r="B463" s="8" t="s">
        <v>475</v>
      </c>
      <c r="C463" s="8" t="s">
        <v>1655</v>
      </c>
      <c r="D463" s="50" t="s">
        <v>1643</v>
      </c>
      <c r="E463" s="50"/>
      <c r="F463" s="8" t="s">
        <v>1656</v>
      </c>
    </row>
    <row r="464" spans="1:6" s="29" customFormat="1" ht="50.5" customHeight="1" x14ac:dyDescent="0.35">
      <c r="A464" s="20" t="s">
        <v>1657</v>
      </c>
      <c r="B464" s="8" t="s">
        <v>475</v>
      </c>
      <c r="C464" s="8" t="s">
        <v>1658</v>
      </c>
      <c r="D464" s="8" t="s">
        <v>1659</v>
      </c>
      <c r="E464" s="50"/>
      <c r="F464" s="8" t="s">
        <v>1660</v>
      </c>
    </row>
    <row r="465" spans="1:6" ht="50.5" customHeight="1" x14ac:dyDescent="0.35">
      <c r="A465" s="20" t="s">
        <v>1661</v>
      </c>
      <c r="B465" s="8" t="s">
        <v>561</v>
      </c>
      <c r="C465" s="8" t="s">
        <v>1662</v>
      </c>
      <c r="D465" s="8" t="s">
        <v>1663</v>
      </c>
      <c r="E465" s="8"/>
      <c r="F465" s="8"/>
    </row>
    <row r="466" spans="1:6" ht="50.5" customHeight="1" x14ac:dyDescent="0.35">
      <c r="A466" s="20" t="s">
        <v>1664</v>
      </c>
      <c r="B466" s="8" t="s">
        <v>561</v>
      </c>
      <c r="C466" s="8" t="s">
        <v>1665</v>
      </c>
      <c r="D466" s="8" t="s">
        <v>1663</v>
      </c>
      <c r="E466" s="8"/>
      <c r="F466" s="8"/>
    </row>
    <row r="467" spans="1:6" ht="50.5" customHeight="1" x14ac:dyDescent="0.35">
      <c r="A467" s="20" t="s">
        <v>1666</v>
      </c>
      <c r="B467" s="8" t="s">
        <v>442</v>
      </c>
      <c r="C467" s="8" t="s">
        <v>1667</v>
      </c>
      <c r="D467" s="8" t="s">
        <v>1663</v>
      </c>
      <c r="E467" s="8"/>
      <c r="F467" s="8"/>
    </row>
    <row r="468" spans="1:6" ht="50.5" customHeight="1" x14ac:dyDescent="0.35">
      <c r="A468" s="20" t="s">
        <v>1668</v>
      </c>
      <c r="B468" s="8" t="s">
        <v>530</v>
      </c>
      <c r="C468" s="8" t="s">
        <v>1669</v>
      </c>
      <c r="D468" s="8" t="s">
        <v>1663</v>
      </c>
      <c r="E468" s="8"/>
      <c r="F468" s="8"/>
    </row>
    <row r="469" spans="1:6" ht="50.5" customHeight="1" x14ac:dyDescent="0.35">
      <c r="A469" s="20" t="s">
        <v>1670</v>
      </c>
      <c r="B469" s="8" t="s">
        <v>1617</v>
      </c>
      <c r="C469" s="8" t="s">
        <v>1671</v>
      </c>
      <c r="D469" s="8" t="s">
        <v>1663</v>
      </c>
      <c r="E469" s="8"/>
      <c r="F469" s="8"/>
    </row>
    <row r="470" spans="1:6" ht="65.5" customHeight="1" x14ac:dyDescent="0.35">
      <c r="A470" s="20" t="s">
        <v>1672</v>
      </c>
      <c r="B470" s="8" t="s">
        <v>530</v>
      </c>
      <c r="C470" s="8" t="s">
        <v>1673</v>
      </c>
      <c r="D470" s="8" t="s">
        <v>1663</v>
      </c>
      <c r="E470" s="8"/>
      <c r="F470" s="8"/>
    </row>
    <row r="471" spans="1:6" ht="50.5" customHeight="1" x14ac:dyDescent="0.35">
      <c r="A471" s="20" t="s">
        <v>1674</v>
      </c>
      <c r="B471" s="8" t="s">
        <v>495</v>
      </c>
      <c r="C471" s="8" t="s">
        <v>1675</v>
      </c>
      <c r="D471" s="8" t="s">
        <v>1663</v>
      </c>
      <c r="E471" s="8"/>
      <c r="F471" s="8"/>
    </row>
    <row r="472" spans="1:6" ht="50.5" customHeight="1" x14ac:dyDescent="0.35">
      <c r="A472" s="20" t="s">
        <v>1676</v>
      </c>
      <c r="B472" s="8" t="s">
        <v>543</v>
      </c>
      <c r="C472" s="8" t="s">
        <v>1677</v>
      </c>
      <c r="D472" s="8" t="s">
        <v>1663</v>
      </c>
      <c r="E472" s="8"/>
      <c r="F472" s="8"/>
    </row>
    <row r="473" spans="1:6" ht="50.5" customHeight="1" x14ac:dyDescent="0.35">
      <c r="A473" s="20" t="s">
        <v>1678</v>
      </c>
      <c r="B473" s="107" t="s">
        <v>495</v>
      </c>
      <c r="C473" s="107" t="s">
        <v>1679</v>
      </c>
      <c r="D473" s="8" t="s">
        <v>1663</v>
      </c>
      <c r="E473" s="8"/>
      <c r="F473" s="8"/>
    </row>
    <row r="474" spans="1:6" ht="50.5" customHeight="1" x14ac:dyDescent="0.35">
      <c r="A474" s="20" t="s">
        <v>1680</v>
      </c>
      <c r="B474" s="107" t="s">
        <v>535</v>
      </c>
      <c r="C474" s="107" t="s">
        <v>1681</v>
      </c>
      <c r="D474" s="8" t="s">
        <v>1663</v>
      </c>
      <c r="E474" s="8"/>
      <c r="F474" s="8"/>
    </row>
    <row r="475" spans="1:6" ht="50.5" customHeight="1" x14ac:dyDescent="0.35">
      <c r="A475" s="20" t="s">
        <v>1682</v>
      </c>
      <c r="B475" s="107" t="s">
        <v>495</v>
      </c>
      <c r="C475" s="107" t="s">
        <v>1683</v>
      </c>
      <c r="D475" s="8" t="s">
        <v>1663</v>
      </c>
      <c r="E475" s="8"/>
      <c r="F475" s="8"/>
    </row>
    <row r="476" spans="1:6" ht="50.5" customHeight="1" x14ac:dyDescent="0.35">
      <c r="A476" s="20" t="s">
        <v>1684</v>
      </c>
      <c r="B476" s="107" t="s">
        <v>535</v>
      </c>
      <c r="C476" s="107" t="s">
        <v>1685</v>
      </c>
      <c r="D476" s="8" t="s">
        <v>1663</v>
      </c>
      <c r="E476" s="8"/>
      <c r="F476" s="8"/>
    </row>
    <row r="477" spans="1:6" ht="50.5" customHeight="1" x14ac:dyDescent="0.35">
      <c r="A477" s="20" t="s">
        <v>1686</v>
      </c>
      <c r="B477" s="107" t="s">
        <v>475</v>
      </c>
      <c r="C477" s="107" t="s">
        <v>1687</v>
      </c>
      <c r="D477" s="8" t="s">
        <v>1663</v>
      </c>
      <c r="E477" s="196"/>
      <c r="F477" s="8"/>
    </row>
    <row r="478" spans="1:6" ht="50.5" customHeight="1" x14ac:dyDescent="0.35">
      <c r="A478" s="20" t="s">
        <v>1688</v>
      </c>
      <c r="B478" s="107" t="s">
        <v>495</v>
      </c>
      <c r="C478" s="107" t="s">
        <v>1689</v>
      </c>
      <c r="D478" s="8" t="s">
        <v>1663</v>
      </c>
      <c r="E478" s="8"/>
      <c r="F478" s="8"/>
    </row>
    <row r="479" spans="1:6" ht="50.5" customHeight="1" x14ac:dyDescent="0.35">
      <c r="A479" s="107">
        <v>526</v>
      </c>
      <c r="B479" s="107" t="s">
        <v>495</v>
      </c>
      <c r="C479" s="107" t="s">
        <v>1690</v>
      </c>
      <c r="D479" s="8" t="s">
        <v>1663</v>
      </c>
      <c r="E479" s="196"/>
      <c r="F479" s="8"/>
    </row>
    <row r="480" spans="1:6" ht="50.5" customHeight="1" x14ac:dyDescent="0.35">
      <c r="A480" s="20" t="s">
        <v>1691</v>
      </c>
      <c r="B480" s="107" t="s">
        <v>495</v>
      </c>
      <c r="C480" s="107" t="s">
        <v>1692</v>
      </c>
      <c r="D480" s="8" t="s">
        <v>1663</v>
      </c>
      <c r="E480" s="8"/>
      <c r="F480" s="8"/>
    </row>
    <row r="481" spans="1:6" ht="50.5" customHeight="1" x14ac:dyDescent="0.35">
      <c r="A481" s="20" t="s">
        <v>1693</v>
      </c>
      <c r="B481" s="107" t="s">
        <v>495</v>
      </c>
      <c r="C481" s="107" t="s">
        <v>1694</v>
      </c>
      <c r="D481" s="8" t="s">
        <v>1663</v>
      </c>
      <c r="E481" s="8"/>
      <c r="F481" s="8"/>
    </row>
    <row r="482" spans="1:6" ht="50.5" customHeight="1" x14ac:dyDescent="0.35">
      <c r="A482" s="20" t="s">
        <v>1695</v>
      </c>
      <c r="B482" s="8" t="s">
        <v>561</v>
      </c>
      <c r="C482" s="8" t="s">
        <v>1696</v>
      </c>
      <c r="D482" s="8" t="s">
        <v>1697</v>
      </c>
      <c r="E482" s="20"/>
      <c r="F482" s="8"/>
    </row>
    <row r="483" spans="1:6" s="111" customFormat="1" ht="29" x14ac:dyDescent="0.35">
      <c r="A483" s="107">
        <v>522</v>
      </c>
      <c r="B483" s="107" t="s">
        <v>535</v>
      </c>
      <c r="C483" s="107" t="s">
        <v>1698</v>
      </c>
      <c r="D483" s="8" t="s">
        <v>1697</v>
      </c>
      <c r="E483" s="20"/>
      <c r="F483" s="107"/>
    </row>
    <row r="484" spans="1:6" s="111" customFormat="1" ht="14.5" x14ac:dyDescent="0.35">
      <c r="A484" s="107">
        <v>529</v>
      </c>
      <c r="B484" s="107" t="s">
        <v>495</v>
      </c>
      <c r="C484" s="107" t="s">
        <v>1699</v>
      </c>
      <c r="D484" s="8" t="s">
        <v>1697</v>
      </c>
      <c r="E484" s="20"/>
      <c r="F484" s="107"/>
    </row>
    <row r="485" spans="1:6" s="111" customFormat="1" ht="43.5" x14ac:dyDescent="0.35">
      <c r="A485" s="107">
        <v>533</v>
      </c>
      <c r="B485" s="107" t="s">
        <v>495</v>
      </c>
      <c r="C485" s="107" t="s">
        <v>1700</v>
      </c>
      <c r="D485" s="8" t="s">
        <v>1697</v>
      </c>
      <c r="E485" s="20"/>
      <c r="F485" s="107"/>
    </row>
    <row r="486" spans="1:6" s="111" customFormat="1" ht="14.5" x14ac:dyDescent="0.35">
      <c r="A486" s="107">
        <v>540</v>
      </c>
      <c r="B486" s="107" t="s">
        <v>495</v>
      </c>
      <c r="C486" s="107" t="s">
        <v>1701</v>
      </c>
      <c r="D486" s="8" t="s">
        <v>1697</v>
      </c>
      <c r="E486" s="20"/>
      <c r="F486" s="107"/>
    </row>
    <row r="487" spans="1:6" s="111" customFormat="1" ht="43.5" x14ac:dyDescent="0.35">
      <c r="A487" s="107">
        <v>543</v>
      </c>
      <c r="B487" s="107" t="s">
        <v>495</v>
      </c>
      <c r="C487" s="107" t="s">
        <v>1702</v>
      </c>
      <c r="D487" s="8" t="s">
        <v>1703</v>
      </c>
      <c r="E487" s="20"/>
      <c r="F487" s="107" t="s">
        <v>1704</v>
      </c>
    </row>
    <row r="488" spans="1:6" s="111" customFormat="1" ht="14.5" x14ac:dyDescent="0.35">
      <c r="A488" s="107">
        <v>547</v>
      </c>
      <c r="B488" s="107" t="s">
        <v>495</v>
      </c>
      <c r="C488" s="107" t="s">
        <v>1705</v>
      </c>
      <c r="D488" s="8" t="s">
        <v>1703</v>
      </c>
      <c r="E488" s="20"/>
      <c r="F488" s="107"/>
    </row>
    <row r="489" spans="1:6" s="111" customFormat="1" ht="29" x14ac:dyDescent="0.35">
      <c r="A489" s="107">
        <v>537</v>
      </c>
      <c r="B489" s="107" t="s">
        <v>495</v>
      </c>
      <c r="C489" s="107" t="s">
        <v>1706</v>
      </c>
      <c r="D489" s="8" t="s">
        <v>1703</v>
      </c>
      <c r="E489" s="20"/>
      <c r="F489" s="107"/>
    </row>
    <row r="490" spans="1:6" s="111" customFormat="1" ht="43.5" x14ac:dyDescent="0.35">
      <c r="A490" s="107">
        <v>546</v>
      </c>
      <c r="B490" s="107" t="s">
        <v>561</v>
      </c>
      <c r="C490" s="107" t="s">
        <v>1707</v>
      </c>
      <c r="D490" s="8" t="s">
        <v>1708</v>
      </c>
      <c r="E490" s="20"/>
      <c r="F490" s="107"/>
    </row>
    <row r="491" spans="1:6" s="111" customFormat="1" ht="14.5" x14ac:dyDescent="0.35">
      <c r="A491" s="107">
        <v>554</v>
      </c>
      <c r="B491" s="107" t="s">
        <v>495</v>
      </c>
      <c r="C491" s="107" t="s">
        <v>1709</v>
      </c>
      <c r="D491" s="8" t="s">
        <v>1710</v>
      </c>
      <c r="E491" s="20"/>
      <c r="F491" s="107"/>
    </row>
    <row r="492" spans="1:6" s="29" customFormat="1" ht="29" x14ac:dyDescent="0.35">
      <c r="A492" s="8">
        <v>305.39999999999998</v>
      </c>
      <c r="B492" s="8" t="s">
        <v>475</v>
      </c>
      <c r="C492" s="8" t="s">
        <v>1711</v>
      </c>
      <c r="D492" s="18" t="s">
        <v>1712</v>
      </c>
      <c r="E492" s="50"/>
      <c r="F492" s="8" t="s">
        <v>1713</v>
      </c>
    </row>
    <row r="493" spans="1:6" s="111" customFormat="1" ht="50.5" customHeight="1" x14ac:dyDescent="0.35">
      <c r="A493" s="107">
        <v>516</v>
      </c>
      <c r="B493" s="107" t="s">
        <v>561</v>
      </c>
      <c r="C493" s="107" t="s">
        <v>1714</v>
      </c>
      <c r="D493" s="18" t="s">
        <v>1715</v>
      </c>
      <c r="E493" s="50"/>
      <c r="F493" s="107"/>
    </row>
    <row r="494" spans="1:6" s="111" customFormat="1" ht="50.5" customHeight="1" x14ac:dyDescent="0.35">
      <c r="A494" s="107">
        <v>524</v>
      </c>
      <c r="B494" s="107" t="s">
        <v>495</v>
      </c>
      <c r="C494" s="107" t="s">
        <v>1716</v>
      </c>
      <c r="D494" s="18" t="s">
        <v>1715</v>
      </c>
      <c r="E494" s="50"/>
      <c r="F494" s="8" t="s">
        <v>1717</v>
      </c>
    </row>
    <row r="495" spans="1:6" s="111" customFormat="1" ht="50.5" customHeight="1" x14ac:dyDescent="0.35">
      <c r="A495" s="107">
        <v>534</v>
      </c>
      <c r="B495" s="107" t="s">
        <v>495</v>
      </c>
      <c r="C495" s="107" t="s">
        <v>1718</v>
      </c>
      <c r="D495" s="18" t="s">
        <v>1715</v>
      </c>
      <c r="E495" s="50"/>
      <c r="F495" s="107"/>
    </row>
    <row r="496" spans="1:6" s="111" customFormat="1" ht="50.5" customHeight="1" x14ac:dyDescent="0.35">
      <c r="A496" s="107">
        <v>538</v>
      </c>
      <c r="B496" s="107" t="s">
        <v>495</v>
      </c>
      <c r="C496" s="107" t="s">
        <v>1719</v>
      </c>
      <c r="D496" s="18" t="s">
        <v>1715</v>
      </c>
      <c r="E496" s="50"/>
      <c r="F496" s="107"/>
    </row>
    <row r="497" spans="1:6" s="111" customFormat="1" ht="50.5" customHeight="1" x14ac:dyDescent="0.35">
      <c r="A497" s="107">
        <v>545</v>
      </c>
      <c r="B497" s="107" t="s">
        <v>475</v>
      </c>
      <c r="C497" s="107" t="s">
        <v>1720</v>
      </c>
      <c r="D497" s="18" t="s">
        <v>1715</v>
      </c>
      <c r="E497" s="50"/>
      <c r="F497" s="107"/>
    </row>
    <row r="498" spans="1:6" s="111" customFormat="1" ht="101.5" x14ac:dyDescent="0.35">
      <c r="A498" s="107">
        <v>603</v>
      </c>
      <c r="B498" s="107" t="s">
        <v>495</v>
      </c>
      <c r="C498" s="107" t="s">
        <v>1721</v>
      </c>
      <c r="D498" s="18" t="s">
        <v>1722</v>
      </c>
      <c r="E498" s="50"/>
      <c r="F498" s="107"/>
    </row>
    <row r="499" spans="1:6" s="111" customFormat="1" ht="43.5" x14ac:dyDescent="0.35">
      <c r="A499" s="107">
        <v>550</v>
      </c>
      <c r="B499" s="107" t="s">
        <v>495</v>
      </c>
      <c r="C499" s="107" t="s">
        <v>1723</v>
      </c>
      <c r="D499" s="18" t="s">
        <v>1724</v>
      </c>
      <c r="E499" s="50"/>
      <c r="F499" s="107" t="s">
        <v>1725</v>
      </c>
    </row>
    <row r="500" spans="1:6" s="29" customFormat="1" ht="43.5" x14ac:dyDescent="0.35">
      <c r="A500" s="20" t="s">
        <v>1726</v>
      </c>
      <c r="B500" s="8" t="s">
        <v>561</v>
      </c>
      <c r="C500" s="8" t="s">
        <v>1727</v>
      </c>
      <c r="D500" s="18" t="s">
        <v>1728</v>
      </c>
      <c r="E500" s="8"/>
      <c r="F500" s="8" t="s">
        <v>1729</v>
      </c>
    </row>
    <row r="501" spans="1:6" ht="50.5" customHeight="1" x14ac:dyDescent="0.35">
      <c r="A501" s="20" t="s">
        <v>1730</v>
      </c>
      <c r="B501" s="8" t="s">
        <v>572</v>
      </c>
      <c r="C501" s="8" t="s">
        <v>1731</v>
      </c>
      <c r="D501" s="18" t="s">
        <v>1728</v>
      </c>
      <c r="E501" s="8"/>
      <c r="F501" s="8" t="s">
        <v>1732</v>
      </c>
    </row>
    <row r="502" spans="1:6" ht="50.5" customHeight="1" x14ac:dyDescent="0.35">
      <c r="A502" s="107">
        <v>507</v>
      </c>
      <c r="B502" s="8" t="s">
        <v>475</v>
      </c>
      <c r="C502" s="8" t="s">
        <v>1733</v>
      </c>
      <c r="D502" s="18" t="s">
        <v>1734</v>
      </c>
      <c r="E502" s="20"/>
      <c r="F502" s="8" t="s">
        <v>1735</v>
      </c>
    </row>
    <row r="503" spans="1:6" ht="50.5" customHeight="1" x14ac:dyDescent="0.35">
      <c r="A503" s="107">
        <v>605</v>
      </c>
      <c r="B503" s="107" t="s">
        <v>495</v>
      </c>
      <c r="C503" s="107" t="s">
        <v>1736</v>
      </c>
      <c r="D503" s="18" t="s">
        <v>1728</v>
      </c>
      <c r="E503" s="20"/>
      <c r="F503" s="107" t="s">
        <v>1737</v>
      </c>
    </row>
    <row r="504" spans="1:6" ht="50.5" customHeight="1" x14ac:dyDescent="0.35">
      <c r="A504" s="18">
        <v>384.1</v>
      </c>
      <c r="B504" s="18" t="s">
        <v>1738</v>
      </c>
      <c r="C504" s="18" t="s">
        <v>1739</v>
      </c>
      <c r="D504" s="18" t="s">
        <v>1740</v>
      </c>
      <c r="E504" s="50"/>
      <c r="F504" s="8" t="s">
        <v>1741</v>
      </c>
    </row>
    <row r="505" spans="1:6" ht="125.25" customHeight="1" x14ac:dyDescent="0.35">
      <c r="A505" s="50" t="s">
        <v>1742</v>
      </c>
      <c r="B505" s="18" t="s">
        <v>495</v>
      </c>
      <c r="C505" s="18" t="s">
        <v>1743</v>
      </c>
      <c r="D505" s="18" t="s">
        <v>1740</v>
      </c>
      <c r="E505" s="50"/>
      <c r="F505" s="18" t="s">
        <v>1744</v>
      </c>
    </row>
    <row r="506" spans="1:6" ht="144.75" customHeight="1" x14ac:dyDescent="0.35">
      <c r="A506" s="50" t="s">
        <v>1745</v>
      </c>
      <c r="B506" s="18" t="s">
        <v>495</v>
      </c>
      <c r="C506" s="18" t="s">
        <v>1746</v>
      </c>
      <c r="D506" s="18" t="s">
        <v>1740</v>
      </c>
      <c r="E506" s="50"/>
      <c r="F506" s="18" t="s">
        <v>1747</v>
      </c>
    </row>
    <row r="507" spans="1:6" ht="50.5" customHeight="1" x14ac:dyDescent="0.35">
      <c r="A507" s="128">
        <v>544</v>
      </c>
      <c r="B507" s="128" t="s">
        <v>535</v>
      </c>
      <c r="C507" s="128" t="s">
        <v>1748</v>
      </c>
      <c r="D507" s="18" t="s">
        <v>1740</v>
      </c>
      <c r="E507" s="50"/>
      <c r="F507" s="128" t="s">
        <v>1749</v>
      </c>
    </row>
    <row r="508" spans="1:6" ht="50.5" customHeight="1" x14ac:dyDescent="0.35">
      <c r="A508" s="128">
        <v>541</v>
      </c>
      <c r="B508" s="128" t="s">
        <v>495</v>
      </c>
      <c r="C508" s="128" t="s">
        <v>1750</v>
      </c>
      <c r="D508" s="18" t="s">
        <v>1751</v>
      </c>
      <c r="E508" s="50"/>
      <c r="F508" s="8"/>
    </row>
    <row r="509" spans="1:6" ht="50.5" customHeight="1" x14ac:dyDescent="0.35">
      <c r="A509" s="128">
        <v>542</v>
      </c>
      <c r="B509" s="128" t="s">
        <v>535</v>
      </c>
      <c r="C509" s="128" t="s">
        <v>1752</v>
      </c>
      <c r="D509" s="18" t="s">
        <v>1751</v>
      </c>
      <c r="E509" s="50"/>
      <c r="F509" s="8"/>
    </row>
    <row r="510" spans="1:6" ht="50.5" customHeight="1" x14ac:dyDescent="0.35">
      <c r="A510" s="128">
        <v>549</v>
      </c>
      <c r="B510" s="128" t="s">
        <v>535</v>
      </c>
      <c r="C510" s="128" t="s">
        <v>1753</v>
      </c>
      <c r="D510" s="18" t="s">
        <v>1751</v>
      </c>
      <c r="E510" s="50"/>
      <c r="F510" s="8"/>
    </row>
    <row r="511" spans="1:6" ht="58" x14ac:dyDescent="0.35">
      <c r="A511" s="128">
        <v>602</v>
      </c>
      <c r="B511" s="128" t="s">
        <v>495</v>
      </c>
      <c r="C511" s="128" t="s">
        <v>1754</v>
      </c>
      <c r="D511" s="18" t="s">
        <v>1751</v>
      </c>
      <c r="E511" s="50"/>
      <c r="F511" s="8"/>
    </row>
    <row r="512" spans="1:6" ht="50.5" customHeight="1" x14ac:dyDescent="0.35">
      <c r="A512" s="128">
        <v>551</v>
      </c>
      <c r="B512" s="128" t="s">
        <v>572</v>
      </c>
      <c r="C512" s="128" t="s">
        <v>1755</v>
      </c>
      <c r="D512" s="18" t="s">
        <v>1756</v>
      </c>
      <c r="E512" s="50"/>
      <c r="F512" s="128" t="s">
        <v>1757</v>
      </c>
    </row>
    <row r="513" spans="1:6" ht="50.5" customHeight="1" x14ac:dyDescent="0.35">
      <c r="A513" s="128">
        <v>508</v>
      </c>
      <c r="B513" s="18" t="s">
        <v>495</v>
      </c>
      <c r="C513" s="18" t="s">
        <v>1758</v>
      </c>
      <c r="D513" s="18" t="s">
        <v>1759</v>
      </c>
      <c r="E513" s="50"/>
      <c r="F513" s="8" t="s">
        <v>1760</v>
      </c>
    </row>
    <row r="514" spans="1:6" ht="50.5" customHeight="1" x14ac:dyDescent="0.35">
      <c r="A514" s="107">
        <v>617</v>
      </c>
      <c r="B514" s="8" t="s">
        <v>1761</v>
      </c>
      <c r="C514" s="8" t="s">
        <v>1762</v>
      </c>
      <c r="D514" s="8" t="s">
        <v>1763</v>
      </c>
      <c r="E514" s="50"/>
      <c r="F514" s="107"/>
    </row>
    <row r="515" spans="1:6" ht="90.65" customHeight="1" x14ac:dyDescent="0.35">
      <c r="A515" s="50" t="s">
        <v>1764</v>
      </c>
      <c r="B515" s="18" t="s">
        <v>475</v>
      </c>
      <c r="C515" s="18" t="s">
        <v>1765</v>
      </c>
      <c r="D515" s="8" t="s">
        <v>1766</v>
      </c>
      <c r="E515" s="50"/>
      <c r="F515" s="8"/>
    </row>
    <row r="516" spans="1:6" ht="142.5" customHeight="1" x14ac:dyDescent="0.35">
      <c r="A516" s="128">
        <v>536</v>
      </c>
      <c r="B516" s="128" t="s">
        <v>561</v>
      </c>
      <c r="C516" s="129" t="s">
        <v>1767</v>
      </c>
      <c r="D516" s="8" t="s">
        <v>1766</v>
      </c>
      <c r="E516" s="50"/>
      <c r="F516" s="8"/>
    </row>
    <row r="517" spans="1:6" ht="50.5" customHeight="1" x14ac:dyDescent="0.35">
      <c r="A517" s="107">
        <v>615</v>
      </c>
      <c r="B517" s="18" t="s">
        <v>495</v>
      </c>
      <c r="C517" s="8" t="s">
        <v>1768</v>
      </c>
      <c r="D517" s="8" t="s">
        <v>1766</v>
      </c>
      <c r="E517" s="50"/>
      <c r="F517" s="140"/>
    </row>
    <row r="518" spans="1:6" ht="89.15" customHeight="1" x14ac:dyDescent="0.35">
      <c r="A518" s="107">
        <v>619</v>
      </c>
      <c r="B518" s="107" t="s">
        <v>475</v>
      </c>
      <c r="C518" s="139" t="s">
        <v>1769</v>
      </c>
      <c r="D518" s="8" t="s">
        <v>1770</v>
      </c>
      <c r="E518" s="18"/>
      <c r="F518" s="140" t="s">
        <v>1771</v>
      </c>
    </row>
    <row r="519" spans="1:6" ht="124" customHeight="1" x14ac:dyDescent="0.35">
      <c r="A519" s="50" t="s">
        <v>1772</v>
      </c>
      <c r="B519" s="18" t="s">
        <v>535</v>
      </c>
      <c r="C519" s="18" t="s">
        <v>1773</v>
      </c>
      <c r="D519" s="8" t="s">
        <v>1774</v>
      </c>
      <c r="E519" s="50"/>
      <c r="F519" s="140" t="s">
        <v>1775</v>
      </c>
    </row>
    <row r="520" spans="1:6" ht="50.5" customHeight="1" x14ac:dyDescent="0.35">
      <c r="A520" s="144">
        <v>614</v>
      </c>
      <c r="B520" s="137" t="s">
        <v>1761</v>
      </c>
      <c r="C520" s="137" t="s">
        <v>1776</v>
      </c>
      <c r="D520" s="137" t="s">
        <v>1777</v>
      </c>
      <c r="E520" s="137"/>
      <c r="F520" s="145" t="s">
        <v>1778</v>
      </c>
    </row>
    <row r="521" spans="1:6" ht="50.5" customHeight="1" x14ac:dyDescent="0.35">
      <c r="A521" s="128">
        <v>601</v>
      </c>
      <c r="B521" s="128" t="s">
        <v>475</v>
      </c>
      <c r="C521" s="128" t="s">
        <v>1779</v>
      </c>
      <c r="D521" s="8" t="s">
        <v>1780</v>
      </c>
      <c r="E521" s="8"/>
      <c r="F521" s="8"/>
    </row>
    <row r="522" spans="1:6" ht="50.5" customHeight="1" x14ac:dyDescent="0.35">
      <c r="A522" s="128">
        <v>610</v>
      </c>
      <c r="B522" s="128" t="s">
        <v>535</v>
      </c>
      <c r="C522" s="128" t="s">
        <v>1781</v>
      </c>
      <c r="D522" s="8" t="s">
        <v>1780</v>
      </c>
      <c r="E522" s="8"/>
      <c r="F522" s="8"/>
    </row>
    <row r="523" spans="1:6" ht="50.5" customHeight="1" x14ac:dyDescent="0.35">
      <c r="A523" s="128">
        <v>613</v>
      </c>
      <c r="B523" s="128" t="s">
        <v>535</v>
      </c>
      <c r="C523" s="18" t="s">
        <v>1782</v>
      </c>
      <c r="D523" s="8" t="s">
        <v>1780</v>
      </c>
      <c r="E523" s="8"/>
      <c r="F523" s="140"/>
    </row>
    <row r="524" spans="1:6" ht="50.5" customHeight="1" x14ac:dyDescent="0.35">
      <c r="A524" s="107">
        <v>623</v>
      </c>
      <c r="B524" s="107" t="s">
        <v>475</v>
      </c>
      <c r="C524" s="138" t="s">
        <v>1783</v>
      </c>
      <c r="D524" s="8" t="s">
        <v>1780</v>
      </c>
      <c r="E524" s="8"/>
      <c r="F524" s="140"/>
    </row>
    <row r="525" spans="1:6" ht="140.5" customHeight="1" x14ac:dyDescent="0.35">
      <c r="A525" s="107">
        <v>618</v>
      </c>
      <c r="B525" s="107" t="s">
        <v>495</v>
      </c>
      <c r="C525" s="18" t="s">
        <v>1784</v>
      </c>
      <c r="D525" s="18" t="s">
        <v>1785</v>
      </c>
      <c r="E525" s="50"/>
      <c r="F525" s="146" t="s">
        <v>1786</v>
      </c>
    </row>
    <row r="526" spans="1:6" ht="171" customHeight="1" x14ac:dyDescent="0.35">
      <c r="A526" s="7" t="s">
        <v>1787</v>
      </c>
      <c r="B526" s="29" t="s">
        <v>495</v>
      </c>
      <c r="C526" s="18" t="s">
        <v>1788</v>
      </c>
      <c r="D526" s="18" t="s">
        <v>1789</v>
      </c>
      <c r="E526" s="18"/>
      <c r="F526" s="8" t="s">
        <v>1790</v>
      </c>
    </row>
    <row r="527" spans="1:6" s="29" customFormat="1" ht="14.5" x14ac:dyDescent="0.35">
      <c r="A527" s="128">
        <v>512</v>
      </c>
      <c r="B527" s="128" t="s">
        <v>495</v>
      </c>
      <c r="C527" s="128" t="s">
        <v>1791</v>
      </c>
      <c r="D527" s="128" t="s">
        <v>1792</v>
      </c>
      <c r="E527" s="50"/>
      <c r="F527" s="18"/>
    </row>
    <row r="528" spans="1:6" s="111" customFormat="1" ht="29" x14ac:dyDescent="0.35">
      <c r="A528" s="128">
        <v>517</v>
      </c>
      <c r="B528" s="128" t="s">
        <v>495</v>
      </c>
      <c r="C528" s="128" t="s">
        <v>1793</v>
      </c>
      <c r="D528" s="128" t="s">
        <v>1792</v>
      </c>
      <c r="E528" s="50"/>
      <c r="F528" s="128"/>
    </row>
    <row r="529" spans="1:6" s="111" customFormat="1" ht="29" x14ac:dyDescent="0.35">
      <c r="A529" s="128">
        <v>523</v>
      </c>
      <c r="B529" s="128" t="s">
        <v>475</v>
      </c>
      <c r="C529" s="128" t="s">
        <v>1794</v>
      </c>
      <c r="D529" s="128" t="s">
        <v>1792</v>
      </c>
      <c r="E529" s="50"/>
      <c r="F529" s="128"/>
    </row>
    <row r="530" spans="1:6" ht="50.5" customHeight="1" x14ac:dyDescent="0.35">
      <c r="A530" s="128">
        <v>528</v>
      </c>
      <c r="B530" s="128" t="s">
        <v>475</v>
      </c>
      <c r="C530" s="128" t="s">
        <v>1795</v>
      </c>
      <c r="D530" s="128" t="s">
        <v>1792</v>
      </c>
      <c r="E530" s="50"/>
      <c r="F530" s="128"/>
    </row>
    <row r="531" spans="1:6" ht="50.5" customHeight="1" x14ac:dyDescent="0.35">
      <c r="A531" s="128">
        <v>530</v>
      </c>
      <c r="B531" s="128" t="s">
        <v>495</v>
      </c>
      <c r="C531" s="8" t="s">
        <v>1796</v>
      </c>
      <c r="D531" s="128" t="s">
        <v>1792</v>
      </c>
      <c r="E531" s="50"/>
      <c r="F531" s="128"/>
    </row>
    <row r="532" spans="1:6" ht="50.5" customHeight="1" x14ac:dyDescent="0.35">
      <c r="A532" s="128">
        <v>532</v>
      </c>
      <c r="B532" s="128" t="s">
        <v>495</v>
      </c>
      <c r="C532" s="18" t="s">
        <v>1797</v>
      </c>
      <c r="D532" s="128" t="s">
        <v>1792</v>
      </c>
      <c r="E532" s="50"/>
      <c r="F532" s="128"/>
    </row>
    <row r="533" spans="1:6" ht="50.5" customHeight="1" x14ac:dyDescent="0.35">
      <c r="A533" s="128">
        <v>535</v>
      </c>
      <c r="B533" s="128" t="s">
        <v>495</v>
      </c>
      <c r="C533" s="128" t="s">
        <v>1798</v>
      </c>
      <c r="D533" s="128" t="s">
        <v>1792</v>
      </c>
      <c r="E533" s="50"/>
      <c r="F533" s="128"/>
    </row>
    <row r="534" spans="1:6" ht="50.5" customHeight="1" x14ac:dyDescent="0.35">
      <c r="A534" s="128">
        <v>548</v>
      </c>
      <c r="B534" s="128" t="s">
        <v>495</v>
      </c>
      <c r="C534" s="128" t="s">
        <v>1799</v>
      </c>
      <c r="D534" s="128" t="s">
        <v>1792</v>
      </c>
      <c r="E534" s="50"/>
      <c r="F534" s="128"/>
    </row>
    <row r="535" spans="1:6" ht="50.5" customHeight="1" x14ac:dyDescent="0.35">
      <c r="A535" s="128">
        <v>552</v>
      </c>
      <c r="B535" s="128" t="s">
        <v>475</v>
      </c>
      <c r="C535" s="128" t="s">
        <v>1800</v>
      </c>
      <c r="D535" s="128" t="s">
        <v>1792</v>
      </c>
      <c r="E535" s="50"/>
      <c r="F535" s="128"/>
    </row>
    <row r="536" spans="1:6" ht="50.5" customHeight="1" x14ac:dyDescent="0.35">
      <c r="A536" s="128">
        <v>553</v>
      </c>
      <c r="B536" s="128" t="s">
        <v>580</v>
      </c>
      <c r="C536" s="128" t="s">
        <v>1801</v>
      </c>
      <c r="D536" s="128" t="s">
        <v>1792</v>
      </c>
      <c r="E536" s="50"/>
      <c r="F536" s="128"/>
    </row>
    <row r="537" spans="1:6" ht="50.5" customHeight="1" x14ac:dyDescent="0.35">
      <c r="A537" s="128">
        <v>556</v>
      </c>
      <c r="B537" s="128" t="s">
        <v>535</v>
      </c>
      <c r="C537" s="8" t="s">
        <v>1802</v>
      </c>
      <c r="D537" s="128" t="s">
        <v>1792</v>
      </c>
      <c r="E537" s="50"/>
      <c r="F537" s="128"/>
    </row>
    <row r="538" spans="1:6" ht="50.5" customHeight="1" x14ac:dyDescent="0.35">
      <c r="A538" s="128">
        <v>557</v>
      </c>
      <c r="B538" s="128" t="s">
        <v>535</v>
      </c>
      <c r="C538" s="128" t="s">
        <v>1803</v>
      </c>
      <c r="D538" s="128" t="s">
        <v>1792</v>
      </c>
      <c r="E538" s="50"/>
      <c r="F538" s="128"/>
    </row>
    <row r="539" spans="1:6" ht="50.5" customHeight="1" x14ac:dyDescent="0.35">
      <c r="A539" s="128">
        <v>558</v>
      </c>
      <c r="B539" s="128" t="s">
        <v>580</v>
      </c>
      <c r="C539" s="128" t="s">
        <v>1804</v>
      </c>
      <c r="D539" s="128" t="s">
        <v>1792</v>
      </c>
      <c r="E539" s="50"/>
      <c r="F539" s="128"/>
    </row>
    <row r="540" spans="1:6" ht="50.5" customHeight="1" x14ac:dyDescent="0.35">
      <c r="A540" s="128">
        <v>604</v>
      </c>
      <c r="B540" s="128" t="s">
        <v>495</v>
      </c>
      <c r="C540" s="18" t="s">
        <v>1805</v>
      </c>
      <c r="D540" s="128" t="s">
        <v>1792</v>
      </c>
      <c r="E540" s="50"/>
      <c r="F540" s="128"/>
    </row>
    <row r="541" spans="1:6" ht="50.5" customHeight="1" x14ac:dyDescent="0.35">
      <c r="A541" s="128">
        <v>606</v>
      </c>
      <c r="B541" s="128" t="s">
        <v>495</v>
      </c>
      <c r="C541" s="128" t="s">
        <v>1705</v>
      </c>
      <c r="D541" s="128" t="s">
        <v>1792</v>
      </c>
      <c r="E541" s="50"/>
      <c r="F541" s="128"/>
    </row>
    <row r="542" spans="1:6" ht="50.5" customHeight="1" x14ac:dyDescent="0.35">
      <c r="A542" s="128">
        <v>607</v>
      </c>
      <c r="B542" s="128" t="s">
        <v>580</v>
      </c>
      <c r="C542" s="18" t="s">
        <v>1806</v>
      </c>
      <c r="D542" s="128" t="s">
        <v>1792</v>
      </c>
      <c r="E542" s="50"/>
      <c r="F542" s="128"/>
    </row>
    <row r="543" spans="1:6" ht="50.5" customHeight="1" x14ac:dyDescent="0.35">
      <c r="A543" s="107">
        <v>616</v>
      </c>
      <c r="B543" s="107" t="s">
        <v>535</v>
      </c>
      <c r="C543" s="18" t="s">
        <v>1807</v>
      </c>
      <c r="D543" s="128" t="s">
        <v>1792</v>
      </c>
      <c r="E543" s="18"/>
      <c r="F543" s="107"/>
    </row>
    <row r="544" spans="1:6" s="111" customFormat="1" ht="43.5" x14ac:dyDescent="0.35">
      <c r="A544" s="107">
        <v>631</v>
      </c>
      <c r="B544" s="107" t="s">
        <v>580</v>
      </c>
      <c r="C544" s="107" t="s">
        <v>1808</v>
      </c>
      <c r="D544" s="128" t="s">
        <v>1792</v>
      </c>
      <c r="E544" s="18"/>
      <c r="F544" s="107"/>
    </row>
    <row r="545" spans="1:6" ht="50.5" customHeight="1" x14ac:dyDescent="0.35">
      <c r="A545" s="107">
        <v>624</v>
      </c>
      <c r="B545" s="107" t="s">
        <v>475</v>
      </c>
      <c r="C545" s="107" t="s">
        <v>1809</v>
      </c>
      <c r="D545" s="128" t="s">
        <v>1792</v>
      </c>
      <c r="E545" s="50"/>
      <c r="F545" s="136"/>
    </row>
    <row r="546" spans="1:6" ht="50.5" customHeight="1" x14ac:dyDescent="0.35">
      <c r="A546" s="107">
        <v>626</v>
      </c>
      <c r="B546" s="107" t="s">
        <v>580</v>
      </c>
      <c r="C546" s="107" t="s">
        <v>1810</v>
      </c>
      <c r="D546" s="128" t="s">
        <v>1792</v>
      </c>
      <c r="E546" s="18"/>
      <c r="F546" s="107"/>
    </row>
    <row r="547" spans="1:6" ht="145.5" customHeight="1" x14ac:dyDescent="0.35">
      <c r="A547" s="7" t="s">
        <v>341</v>
      </c>
      <c r="B547" s="7" t="s">
        <v>495</v>
      </c>
      <c r="C547" s="117" t="s">
        <v>1811</v>
      </c>
      <c r="D547" s="128" t="s">
        <v>1789</v>
      </c>
      <c r="E547" s="8"/>
      <c r="F547" s="8" t="s">
        <v>1812</v>
      </c>
    </row>
    <row r="548" spans="1:6" s="29" customFormat="1" ht="58" x14ac:dyDescent="0.35">
      <c r="A548" s="50" t="s">
        <v>1813</v>
      </c>
      <c r="B548" s="18" t="s">
        <v>495</v>
      </c>
      <c r="C548" s="18" t="s">
        <v>1814</v>
      </c>
      <c r="D548" s="18" t="s">
        <v>1815</v>
      </c>
      <c r="E548" s="50"/>
      <c r="F548" s="18" t="s">
        <v>1816</v>
      </c>
    </row>
    <row r="549" spans="1:6" s="111" customFormat="1" ht="58" x14ac:dyDescent="0.35">
      <c r="A549" s="136">
        <v>621</v>
      </c>
      <c r="B549" s="136" t="s">
        <v>535</v>
      </c>
      <c r="C549" s="136" t="s">
        <v>1817</v>
      </c>
      <c r="D549" s="136" t="s">
        <v>1815</v>
      </c>
      <c r="E549" s="137"/>
      <c r="F549" s="136"/>
    </row>
    <row r="550" spans="1:6" s="111" customFormat="1" ht="14.5" x14ac:dyDescent="0.35">
      <c r="A550" s="107">
        <v>628</v>
      </c>
      <c r="B550" s="107" t="s">
        <v>638</v>
      </c>
      <c r="C550" s="107" t="s">
        <v>1818</v>
      </c>
      <c r="D550" s="107" t="s">
        <v>1815</v>
      </c>
      <c r="E550" s="18"/>
      <c r="F550" s="107"/>
    </row>
    <row r="551" spans="1:6" s="111" customFormat="1" ht="29" x14ac:dyDescent="0.35">
      <c r="A551" s="107">
        <v>630</v>
      </c>
      <c r="B551" s="107" t="s">
        <v>475</v>
      </c>
      <c r="C551" s="107" t="s">
        <v>1819</v>
      </c>
      <c r="D551" s="136" t="s">
        <v>1815</v>
      </c>
      <c r="E551" s="18"/>
      <c r="F551" s="107"/>
    </row>
    <row r="552" spans="1:6" ht="50.5" customHeight="1" x14ac:dyDescent="0.35">
      <c r="A552" s="117" t="s">
        <v>1820</v>
      </c>
      <c r="B552" s="7" t="s">
        <v>495</v>
      </c>
      <c r="C552" s="149" t="s">
        <v>1821</v>
      </c>
      <c r="D552" s="107" t="s">
        <v>1815</v>
      </c>
      <c r="E552" s="8"/>
      <c r="F552" s="8"/>
    </row>
    <row r="553" spans="1:6" s="111" customFormat="1" ht="29" x14ac:dyDescent="0.35">
      <c r="A553" s="107">
        <v>635</v>
      </c>
      <c r="B553" s="107" t="s">
        <v>475</v>
      </c>
      <c r="C553" s="107" t="s">
        <v>1822</v>
      </c>
      <c r="D553" s="128" t="s">
        <v>1823</v>
      </c>
      <c r="E553" s="18"/>
      <c r="F553" s="107"/>
    </row>
    <row r="554" spans="1:6" s="111" customFormat="1" ht="14.5" x14ac:dyDescent="0.35">
      <c r="A554" s="107">
        <v>633</v>
      </c>
      <c r="B554" s="107" t="s">
        <v>580</v>
      </c>
      <c r="C554" s="148" t="s">
        <v>1824</v>
      </c>
      <c r="D554" s="128" t="s">
        <v>1823</v>
      </c>
      <c r="E554" s="18"/>
      <c r="F554" s="107"/>
    </row>
    <row r="555" spans="1:6" s="111" customFormat="1" ht="29" x14ac:dyDescent="0.35">
      <c r="A555" s="107">
        <v>642</v>
      </c>
      <c r="B555" s="107" t="s">
        <v>495</v>
      </c>
      <c r="C555" s="107" t="s">
        <v>1825</v>
      </c>
      <c r="D555" s="128" t="s">
        <v>1826</v>
      </c>
      <c r="E555" s="18"/>
      <c r="F555" s="107"/>
    </row>
    <row r="556" spans="1:6" ht="190.5" customHeight="1" x14ac:dyDescent="0.35">
      <c r="A556" s="20" t="s">
        <v>1827</v>
      </c>
      <c r="B556" s="8" t="s">
        <v>495</v>
      </c>
      <c r="C556" s="8" t="s">
        <v>1828</v>
      </c>
      <c r="D556" s="128" t="s">
        <v>1826</v>
      </c>
      <c r="E556" s="8"/>
      <c r="F556" s="8"/>
    </row>
    <row r="557" spans="1:6" ht="190.5" customHeight="1" x14ac:dyDescent="0.35">
      <c r="A557" s="107">
        <v>629</v>
      </c>
      <c r="B557" s="8" t="s">
        <v>535</v>
      </c>
      <c r="C557" s="107" t="s">
        <v>1829</v>
      </c>
      <c r="D557" s="128" t="s">
        <v>1830</v>
      </c>
      <c r="E557" s="8"/>
      <c r="F557" s="8"/>
    </row>
    <row r="558" spans="1:6" ht="190.5" customHeight="1" x14ac:dyDescent="0.35">
      <c r="A558" s="107">
        <v>636</v>
      </c>
      <c r="B558" s="107" t="s">
        <v>475</v>
      </c>
      <c r="C558" s="107" t="s">
        <v>1831</v>
      </c>
      <c r="D558" s="128" t="s">
        <v>1830</v>
      </c>
      <c r="E558" s="8"/>
      <c r="F558" s="8"/>
    </row>
    <row r="559" spans="1:6" ht="190.5" customHeight="1" x14ac:dyDescent="0.35">
      <c r="A559" s="20" t="s">
        <v>1832</v>
      </c>
      <c r="B559" s="8" t="s">
        <v>530</v>
      </c>
      <c r="C559" s="8" t="s">
        <v>1833</v>
      </c>
      <c r="D559" s="128" t="s">
        <v>1834</v>
      </c>
      <c r="E559" s="8"/>
      <c r="F559" s="8" t="s">
        <v>1835</v>
      </c>
    </row>
    <row r="560" spans="1:6" ht="190.5" customHeight="1" x14ac:dyDescent="0.35">
      <c r="A560" s="107">
        <v>638</v>
      </c>
      <c r="B560" s="107" t="s">
        <v>572</v>
      </c>
      <c r="C560" s="107" t="s">
        <v>1836</v>
      </c>
      <c r="D560" s="128" t="s">
        <v>1830</v>
      </c>
      <c r="E560" s="8"/>
      <c r="F560" s="8"/>
    </row>
    <row r="561" spans="1:6" ht="140.15" customHeight="1" x14ac:dyDescent="0.35">
      <c r="A561" s="107">
        <v>539</v>
      </c>
      <c r="B561" s="128" t="s">
        <v>475</v>
      </c>
      <c r="C561" s="128" t="s">
        <v>1837</v>
      </c>
      <c r="D561" s="128" t="s">
        <v>1838</v>
      </c>
      <c r="E561" s="8"/>
      <c r="F561" s="128" t="s">
        <v>1839</v>
      </c>
    </row>
    <row r="562" spans="1:6" ht="50.5" customHeight="1" x14ac:dyDescent="0.35">
      <c r="A562" s="20" t="s">
        <v>1840</v>
      </c>
      <c r="B562" s="8" t="s">
        <v>543</v>
      </c>
      <c r="C562" s="8" t="s">
        <v>1841</v>
      </c>
      <c r="D562" s="8" t="s">
        <v>1842</v>
      </c>
      <c r="E562" s="8"/>
      <c r="F562" s="8" t="s">
        <v>1843</v>
      </c>
    </row>
    <row r="563" spans="1:6" ht="50.5" customHeight="1" x14ac:dyDescent="0.35">
      <c r="A563" s="168" t="s">
        <v>1844</v>
      </c>
      <c r="B563" s="154" t="s">
        <v>535</v>
      </c>
      <c r="C563" s="145" t="s">
        <v>1845</v>
      </c>
      <c r="D563" s="154" t="s">
        <v>1846</v>
      </c>
      <c r="E563" s="145"/>
      <c r="F563" s="144" t="s">
        <v>1847</v>
      </c>
    </row>
    <row r="564" spans="1:6" ht="50.5" customHeight="1" x14ac:dyDescent="0.35">
      <c r="A564" s="20" t="s">
        <v>485</v>
      </c>
      <c r="B564" s="8" t="s">
        <v>486</v>
      </c>
      <c r="C564" s="8" t="s">
        <v>475</v>
      </c>
      <c r="D564" s="8" t="s">
        <v>487</v>
      </c>
      <c r="E564" s="8" t="s">
        <v>488</v>
      </c>
      <c r="F564" s="8" t="s">
        <v>489</v>
      </c>
    </row>
    <row r="565" spans="1:6" ht="50.5" customHeight="1" x14ac:dyDescent="0.35">
      <c r="A565" s="20" t="s">
        <v>1848</v>
      </c>
      <c r="B565" s="18" t="s">
        <v>530</v>
      </c>
      <c r="C565" s="8" t="s">
        <v>1849</v>
      </c>
      <c r="D565" s="8" t="s">
        <v>1850</v>
      </c>
      <c r="E565" s="8"/>
      <c r="F565" s="8"/>
    </row>
    <row r="566" spans="1:6" s="29" customFormat="1" ht="50.5" customHeight="1" x14ac:dyDescent="0.35">
      <c r="A566" s="18">
        <v>384.2</v>
      </c>
      <c r="B566" s="18" t="s">
        <v>1738</v>
      </c>
      <c r="C566" s="18" t="s">
        <v>1851</v>
      </c>
      <c r="D566" s="18" t="s">
        <v>1852</v>
      </c>
      <c r="E566" s="50"/>
      <c r="F566" s="8" t="s">
        <v>1853</v>
      </c>
    </row>
    <row r="567" spans="1:6" s="29" customFormat="1" ht="50.5" customHeight="1" x14ac:dyDescent="0.35">
      <c r="A567" s="127">
        <v>369.4</v>
      </c>
      <c r="B567" s="18" t="s">
        <v>468</v>
      </c>
      <c r="C567" s="18" t="s">
        <v>1854</v>
      </c>
      <c r="D567" s="18" t="s">
        <v>1855</v>
      </c>
      <c r="E567" s="50"/>
      <c r="F567" s="18" t="s">
        <v>1856</v>
      </c>
    </row>
    <row r="568" spans="1:6" s="29" customFormat="1" ht="50.5" customHeight="1" x14ac:dyDescent="0.35">
      <c r="A568" s="20">
        <v>627</v>
      </c>
      <c r="B568" s="18" t="s">
        <v>1857</v>
      </c>
      <c r="C568" s="18" t="s">
        <v>1858</v>
      </c>
      <c r="D568" s="18" t="s">
        <v>1859</v>
      </c>
      <c r="E568" s="18"/>
      <c r="F568" s="18" t="s">
        <v>1860</v>
      </c>
    </row>
    <row r="569" spans="1:6" s="29" customFormat="1" ht="50.5" customHeight="1" x14ac:dyDescent="0.35">
      <c r="A569" s="20" t="s">
        <v>1861</v>
      </c>
      <c r="B569" s="18" t="s">
        <v>535</v>
      </c>
      <c r="C569" s="18" t="s">
        <v>1862</v>
      </c>
      <c r="D569" s="18" t="s">
        <v>1859</v>
      </c>
      <c r="E569" s="18"/>
      <c r="F569" s="18"/>
    </row>
    <row r="570" spans="1:6" s="29" customFormat="1" ht="50.5" customHeight="1" x14ac:dyDescent="0.35">
      <c r="A570" s="20" t="s">
        <v>1863</v>
      </c>
      <c r="B570" s="18" t="s">
        <v>543</v>
      </c>
      <c r="C570" s="18" t="s">
        <v>1864</v>
      </c>
      <c r="D570" s="18" t="s">
        <v>1859</v>
      </c>
      <c r="E570" s="18"/>
      <c r="F570" s="18" t="s">
        <v>1865</v>
      </c>
    </row>
    <row r="571" spans="1:6" s="29" customFormat="1" ht="50.5" customHeight="1" x14ac:dyDescent="0.35">
      <c r="A571" s="20" t="s">
        <v>1840</v>
      </c>
      <c r="B571" s="18" t="s">
        <v>543</v>
      </c>
      <c r="C571" s="18" t="s">
        <v>1841</v>
      </c>
      <c r="D571" s="18" t="s">
        <v>1859</v>
      </c>
      <c r="E571" s="18"/>
      <c r="F571" s="18" t="s">
        <v>1866</v>
      </c>
    </row>
    <row r="572" spans="1:6" s="29" customFormat="1" ht="50.5" customHeight="1" x14ac:dyDescent="0.35">
      <c r="A572" s="20" t="s">
        <v>1867</v>
      </c>
      <c r="B572" s="18" t="s">
        <v>468</v>
      </c>
      <c r="C572" s="18" t="s">
        <v>1868</v>
      </c>
      <c r="D572" s="18" t="s">
        <v>1869</v>
      </c>
      <c r="E572" s="50"/>
      <c r="F572" s="18" t="s">
        <v>1870</v>
      </c>
    </row>
    <row r="573" spans="1:6" s="29" customFormat="1" ht="50.5" customHeight="1" x14ac:dyDescent="0.35">
      <c r="A573" s="20" t="s">
        <v>1871</v>
      </c>
      <c r="B573" s="18" t="s">
        <v>475</v>
      </c>
      <c r="C573" s="18" t="s">
        <v>1872</v>
      </c>
      <c r="D573" s="18" t="s">
        <v>1869</v>
      </c>
      <c r="E573" s="50"/>
      <c r="F573" s="18" t="s">
        <v>1873</v>
      </c>
    </row>
    <row r="574" spans="1:6" s="29" customFormat="1" ht="50.5" customHeight="1" x14ac:dyDescent="0.35">
      <c r="A574" s="20" t="s">
        <v>1874</v>
      </c>
      <c r="B574" s="18" t="s">
        <v>475</v>
      </c>
      <c r="C574" s="18" t="s">
        <v>1875</v>
      </c>
      <c r="D574" s="137" t="s">
        <v>1869</v>
      </c>
      <c r="E574" s="50"/>
      <c r="F574" s="18" t="s">
        <v>1876</v>
      </c>
    </row>
    <row r="575" spans="1:6" ht="57.75" customHeight="1" x14ac:dyDescent="0.35">
      <c r="A575" s="177" t="s">
        <v>409</v>
      </c>
      <c r="B575" s="155"/>
      <c r="C575" s="174" t="s">
        <v>1877</v>
      </c>
      <c r="D575" s="155" t="s">
        <v>1878</v>
      </c>
      <c r="E575" s="175"/>
      <c r="F575" s="93" t="s">
        <v>1879</v>
      </c>
    </row>
    <row r="576" spans="1:6" ht="50.5" customHeight="1" x14ac:dyDescent="0.35">
      <c r="A576" s="164" t="s">
        <v>395</v>
      </c>
      <c r="B576" s="155"/>
      <c r="C576" s="174" t="s">
        <v>1880</v>
      </c>
      <c r="D576" s="155" t="s">
        <v>1878</v>
      </c>
      <c r="E576" s="175"/>
      <c r="F576" s="93" t="s">
        <v>1881</v>
      </c>
    </row>
    <row r="577" spans="1:6" ht="64.5" customHeight="1" x14ac:dyDescent="0.35">
      <c r="A577" s="164" t="s">
        <v>1882</v>
      </c>
      <c r="B577" s="155"/>
      <c r="C577" s="174" t="s">
        <v>1883</v>
      </c>
      <c r="D577" s="155" t="s">
        <v>1878</v>
      </c>
      <c r="E577" s="175"/>
      <c r="F577" s="93" t="s">
        <v>1881</v>
      </c>
    </row>
    <row r="578" spans="1:6" ht="61.5" customHeight="1" x14ac:dyDescent="0.35">
      <c r="A578" s="164" t="s">
        <v>1884</v>
      </c>
      <c r="B578" s="155"/>
      <c r="C578" s="174" t="s">
        <v>1885</v>
      </c>
      <c r="D578" s="155" t="s">
        <v>1878</v>
      </c>
      <c r="E578" s="175"/>
      <c r="F578" s="93" t="s">
        <v>1886</v>
      </c>
    </row>
    <row r="579" spans="1:6" ht="71.25" customHeight="1" x14ac:dyDescent="0.35">
      <c r="A579" s="164" t="s">
        <v>1887</v>
      </c>
      <c r="B579" s="155"/>
      <c r="C579" s="174" t="s">
        <v>1888</v>
      </c>
      <c r="D579" s="155" t="s">
        <v>1878</v>
      </c>
      <c r="E579" s="175"/>
      <c r="F579" s="93" t="s">
        <v>1889</v>
      </c>
    </row>
    <row r="580" spans="1:6" ht="71.25" customHeight="1" x14ac:dyDescent="0.35">
      <c r="A580" s="164">
        <v>644</v>
      </c>
      <c r="B580" s="155"/>
      <c r="C580" s="174" t="s">
        <v>1890</v>
      </c>
      <c r="D580" s="155" t="s">
        <v>1891</v>
      </c>
      <c r="E580" s="175"/>
      <c r="F580" s="93" t="s">
        <v>1892</v>
      </c>
    </row>
    <row r="581" spans="1:6" ht="50.5" customHeight="1" x14ac:dyDescent="0.35">
      <c r="A581" s="128">
        <v>609</v>
      </c>
      <c r="B581" s="128" t="s">
        <v>535</v>
      </c>
      <c r="C581" s="128" t="s">
        <v>1893</v>
      </c>
      <c r="D581" s="128" t="s">
        <v>1894</v>
      </c>
      <c r="E581" s="50"/>
      <c r="F581" s="128"/>
    </row>
    <row r="582" spans="1:6" ht="58" x14ac:dyDescent="0.35">
      <c r="A582" s="164" t="s">
        <v>1895</v>
      </c>
      <c r="B582" s="8"/>
      <c r="C582" s="166" t="s">
        <v>1896</v>
      </c>
      <c r="D582" s="176" t="s">
        <v>1878</v>
      </c>
      <c r="E582" s="167"/>
      <c r="F582" s="8" t="s">
        <v>490</v>
      </c>
    </row>
    <row r="583" spans="1:6" ht="50.5" customHeight="1" x14ac:dyDescent="0.35">
      <c r="A583" s="164" t="s">
        <v>1897</v>
      </c>
      <c r="B583" s="8"/>
      <c r="C583" s="166" t="s">
        <v>1898</v>
      </c>
      <c r="D583" s="176" t="s">
        <v>1878</v>
      </c>
      <c r="E583" s="167"/>
      <c r="F583" s="93" t="s">
        <v>1899</v>
      </c>
    </row>
    <row r="584" spans="1:6" ht="50.5" customHeight="1" x14ac:dyDescent="0.35">
      <c r="A584" s="164" t="s">
        <v>1900</v>
      </c>
      <c r="B584" s="8"/>
      <c r="C584" s="166" t="s">
        <v>1901</v>
      </c>
      <c r="D584" s="176" t="s">
        <v>1878</v>
      </c>
      <c r="E584" s="167"/>
      <c r="F584" s="93" t="s">
        <v>1902</v>
      </c>
    </row>
    <row r="585" spans="1:6" ht="50.5" customHeight="1" x14ac:dyDescent="0.35">
      <c r="A585" s="164" t="s">
        <v>1903</v>
      </c>
      <c r="B585" s="8"/>
      <c r="C585" s="166" t="s">
        <v>1904</v>
      </c>
      <c r="D585" s="179" t="s">
        <v>1878</v>
      </c>
      <c r="E585" s="167"/>
      <c r="F585" s="93" t="s">
        <v>490</v>
      </c>
    </row>
    <row r="586" spans="1:6" ht="56.25" customHeight="1" x14ac:dyDescent="0.35">
      <c r="A586" s="50" t="s">
        <v>1905</v>
      </c>
      <c r="B586" s="18" t="s">
        <v>495</v>
      </c>
      <c r="C586" s="18" t="s">
        <v>1906</v>
      </c>
      <c r="D586" s="207" t="s">
        <v>1907</v>
      </c>
      <c r="E586" s="180"/>
      <c r="F586" s="18" t="s">
        <v>1908</v>
      </c>
    </row>
    <row r="587" spans="1:6" s="36" customFormat="1" ht="58" x14ac:dyDescent="0.35">
      <c r="A587" s="164" t="s">
        <v>1909</v>
      </c>
      <c r="B587" s="29"/>
      <c r="C587" s="166" t="s">
        <v>1910</v>
      </c>
      <c r="D587" s="176" t="s">
        <v>1911</v>
      </c>
      <c r="E587" s="93"/>
      <c r="F587" s="164"/>
    </row>
    <row r="588" spans="1:6" ht="50.5" customHeight="1" x14ac:dyDescent="0.35">
      <c r="A588" s="107">
        <v>650</v>
      </c>
      <c r="B588" s="136" t="s">
        <v>495</v>
      </c>
      <c r="C588" s="136" t="s">
        <v>1912</v>
      </c>
      <c r="D588" s="176" t="s">
        <v>1913</v>
      </c>
      <c r="E588" s="18"/>
      <c r="F588" s="195" t="s">
        <v>1914</v>
      </c>
    </row>
    <row r="589" spans="1:6" ht="66" customHeight="1" x14ac:dyDescent="0.35">
      <c r="A589" s="185" t="s">
        <v>1915</v>
      </c>
      <c r="B589" s="187" t="s">
        <v>1426</v>
      </c>
      <c r="C589" s="188" t="s">
        <v>1916</v>
      </c>
      <c r="D589" s="208" t="s">
        <v>681</v>
      </c>
      <c r="E589" s="181"/>
      <c r="F589" s="181" t="s">
        <v>1917</v>
      </c>
    </row>
    <row r="590" spans="1:6" ht="58.5" customHeight="1" x14ac:dyDescent="0.35">
      <c r="A590" s="185" t="s">
        <v>1918</v>
      </c>
      <c r="B590" s="186" t="s">
        <v>475</v>
      </c>
      <c r="C590" s="188" t="s">
        <v>1919</v>
      </c>
      <c r="D590" s="208" t="s">
        <v>681</v>
      </c>
      <c r="E590" s="181"/>
      <c r="F590" s="18"/>
    </row>
    <row r="591" spans="1:6" ht="62.25" customHeight="1" x14ac:dyDescent="0.35">
      <c r="A591" s="185" t="s">
        <v>1920</v>
      </c>
      <c r="B591" s="186" t="s">
        <v>475</v>
      </c>
      <c r="C591" s="188" t="s">
        <v>1921</v>
      </c>
      <c r="D591" s="208" t="s">
        <v>681</v>
      </c>
      <c r="E591" s="181"/>
      <c r="F591" s="7"/>
    </row>
    <row r="592" spans="1:6" ht="66" customHeight="1" x14ac:dyDescent="0.35">
      <c r="A592" s="182" t="s">
        <v>1922</v>
      </c>
      <c r="B592" s="182" t="s">
        <v>442</v>
      </c>
      <c r="C592" s="190" t="s">
        <v>1923</v>
      </c>
      <c r="D592" s="208" t="s">
        <v>681</v>
      </c>
      <c r="E592" s="157"/>
      <c r="F592" s="157"/>
    </row>
    <row r="593" spans="1:6" ht="50.5" customHeight="1" x14ac:dyDescent="0.35">
      <c r="A593" s="182" t="s">
        <v>322</v>
      </c>
      <c r="B593" s="182" t="s">
        <v>442</v>
      </c>
      <c r="C593" s="139" t="s">
        <v>1924</v>
      </c>
      <c r="D593" s="209" t="s">
        <v>1925</v>
      </c>
      <c r="E593" s="210"/>
      <c r="F593" s="181" t="s">
        <v>1926</v>
      </c>
    </row>
    <row r="594" spans="1:6" ht="66.75" customHeight="1" x14ac:dyDescent="0.35">
      <c r="A594" s="183" t="s">
        <v>1927</v>
      </c>
      <c r="B594" s="184"/>
      <c r="C594" s="174" t="s">
        <v>1928</v>
      </c>
      <c r="D594" s="208" t="s">
        <v>1929</v>
      </c>
      <c r="E594" s="208"/>
      <c r="F594" s="191" t="s">
        <v>1930</v>
      </c>
    </row>
    <row r="595" spans="1:6" ht="59.25" customHeight="1" x14ac:dyDescent="0.35">
      <c r="A595" s="50" t="s">
        <v>1931</v>
      </c>
      <c r="B595" s="18" t="s">
        <v>530</v>
      </c>
      <c r="C595" s="18" t="s">
        <v>1932</v>
      </c>
      <c r="D595" s="18" t="s">
        <v>1933</v>
      </c>
      <c r="E595" s="50"/>
      <c r="F595" s="18" t="s">
        <v>200</v>
      </c>
    </row>
    <row r="596" spans="1:6" ht="50.5" customHeight="1" x14ac:dyDescent="0.35">
      <c r="A596" s="155" t="s">
        <v>1934</v>
      </c>
      <c r="B596" s="162" t="s">
        <v>475</v>
      </c>
      <c r="C596" s="163" t="s">
        <v>1935</v>
      </c>
      <c r="D596" s="192" t="s">
        <v>1925</v>
      </c>
      <c r="E596" s="162"/>
      <c r="F596" s="162" t="s">
        <v>1936</v>
      </c>
    </row>
    <row r="597" spans="1:6" s="111" customFormat="1" ht="72.5" x14ac:dyDescent="0.35">
      <c r="A597" s="150" t="s">
        <v>1937</v>
      </c>
      <c r="B597" s="150" t="s">
        <v>468</v>
      </c>
      <c r="C597" s="153" t="s">
        <v>1938</v>
      </c>
      <c r="D597" s="211" t="s">
        <v>1925</v>
      </c>
      <c r="E597" s="154"/>
      <c r="F597" s="154" t="s">
        <v>1939</v>
      </c>
    </row>
    <row r="598" spans="1:6" ht="228" customHeight="1" x14ac:dyDescent="0.35">
      <c r="A598" s="107">
        <v>651</v>
      </c>
      <c r="B598" s="107" t="s">
        <v>580</v>
      </c>
      <c r="C598" s="107" t="s">
        <v>1940</v>
      </c>
      <c r="D598" s="18" t="s">
        <v>1941</v>
      </c>
      <c r="E598" s="212"/>
      <c r="F598" s="107" t="s">
        <v>1942</v>
      </c>
    </row>
    <row r="599" spans="1:6" ht="50.5" customHeight="1" x14ac:dyDescent="0.35">
      <c r="A599" s="128">
        <v>518</v>
      </c>
      <c r="B599" s="128" t="s">
        <v>475</v>
      </c>
      <c r="C599" s="128" t="s">
        <v>1943</v>
      </c>
      <c r="D599" s="50" t="s">
        <v>1944</v>
      </c>
      <c r="E599" s="212"/>
      <c r="F599" s="193" t="s">
        <v>1945</v>
      </c>
    </row>
    <row r="600" spans="1:6" ht="50.5" customHeight="1" x14ac:dyDescent="0.35">
      <c r="A600" s="128">
        <v>612</v>
      </c>
      <c r="B600" s="128" t="s">
        <v>561</v>
      </c>
      <c r="C600" s="18" t="s">
        <v>1946</v>
      </c>
      <c r="D600" s="212" t="s">
        <v>1947</v>
      </c>
      <c r="E600" s="50"/>
      <c r="F600" s="133" t="s">
        <v>1948</v>
      </c>
    </row>
    <row r="601" spans="1:6" ht="50.5" customHeight="1" x14ac:dyDescent="0.35">
      <c r="A601" s="128">
        <v>600</v>
      </c>
      <c r="B601" s="128" t="s">
        <v>495</v>
      </c>
      <c r="C601" s="128" t="s">
        <v>1949</v>
      </c>
      <c r="D601" s="192" t="s">
        <v>1950</v>
      </c>
      <c r="E601" s="50"/>
      <c r="F601" s="128" t="s">
        <v>1951</v>
      </c>
    </row>
    <row r="602" spans="1:6" s="36" customFormat="1" ht="50.5" customHeight="1" x14ac:dyDescent="0.35">
      <c r="A602" s="164" t="s">
        <v>1952</v>
      </c>
      <c r="B602" s="29" t="s">
        <v>535</v>
      </c>
      <c r="C602" s="174" t="s">
        <v>1953</v>
      </c>
      <c r="D602" s="197" t="s">
        <v>1954</v>
      </c>
      <c r="E602" s="198"/>
      <c r="F602" s="93" t="s">
        <v>1955</v>
      </c>
    </row>
    <row r="603" spans="1:6" s="111" customFormat="1" ht="14.5" x14ac:dyDescent="0.35">
      <c r="A603" s="107">
        <v>645</v>
      </c>
      <c r="B603" s="107" t="s">
        <v>580</v>
      </c>
      <c r="C603" s="107" t="s">
        <v>1956</v>
      </c>
      <c r="D603" s="128" t="s">
        <v>1957</v>
      </c>
      <c r="E603" s="18"/>
      <c r="F603" s="107" t="s">
        <v>1958</v>
      </c>
    </row>
    <row r="604" spans="1:6" s="111" customFormat="1" ht="29" x14ac:dyDescent="0.35">
      <c r="A604" s="7" t="s">
        <v>1959</v>
      </c>
      <c r="B604" s="7" t="s">
        <v>442</v>
      </c>
      <c r="C604" s="27" t="s">
        <v>1960</v>
      </c>
      <c r="D604" s="8" t="s">
        <v>1961</v>
      </c>
      <c r="E604" s="140"/>
      <c r="F604" s="8"/>
    </row>
    <row r="605" spans="1:6" ht="50.5" customHeight="1" x14ac:dyDescent="0.35">
      <c r="A605" s="155" t="s">
        <v>1962</v>
      </c>
      <c r="B605" s="162" t="s">
        <v>442</v>
      </c>
      <c r="C605" s="163" t="s">
        <v>1963</v>
      </c>
      <c r="D605" s="162" t="s">
        <v>449</v>
      </c>
      <c r="E605" s="200"/>
      <c r="F605" s="200" t="s">
        <v>1964</v>
      </c>
    </row>
    <row r="606" spans="1:6" s="111" customFormat="1" ht="43.5" x14ac:dyDescent="0.35">
      <c r="A606" s="8">
        <v>658</v>
      </c>
      <c r="B606" s="8" t="s">
        <v>535</v>
      </c>
      <c r="C606" s="8" t="s">
        <v>1965</v>
      </c>
      <c r="D606" s="201" t="s">
        <v>681</v>
      </c>
      <c r="E606" s="18"/>
      <c r="F606" s="8" t="s">
        <v>1966</v>
      </c>
    </row>
    <row r="607" spans="1:6" ht="50.5" customHeight="1" x14ac:dyDescent="0.35">
      <c r="A607" s="107">
        <v>640</v>
      </c>
      <c r="B607" s="107" t="s">
        <v>580</v>
      </c>
      <c r="C607" s="199" t="s">
        <v>587</v>
      </c>
      <c r="D607" s="18" t="s">
        <v>588</v>
      </c>
      <c r="E607" s="18"/>
      <c r="F607" s="107" t="s">
        <v>2665</v>
      </c>
    </row>
    <row r="608" spans="1:6" ht="50.5" customHeight="1" x14ac:dyDescent="0.35">
      <c r="A608" s="8">
        <v>655</v>
      </c>
      <c r="B608" s="8" t="s">
        <v>475</v>
      </c>
      <c r="C608" s="8" t="s">
        <v>600</v>
      </c>
      <c r="D608" s="8" t="s">
        <v>2667</v>
      </c>
      <c r="E608" s="18"/>
      <c r="F608" s="8"/>
    </row>
    <row r="609" spans="1:6" s="111" customFormat="1" ht="29" x14ac:dyDescent="0.35">
      <c r="A609" s="8">
        <v>659</v>
      </c>
      <c r="B609" s="8" t="s">
        <v>535</v>
      </c>
      <c r="C609" s="8" t="s">
        <v>605</v>
      </c>
      <c r="D609" s="18" t="s">
        <v>588</v>
      </c>
      <c r="E609" s="18"/>
      <c r="F609" s="107" t="s">
        <v>2665</v>
      </c>
    </row>
    <row r="610" spans="1:6" ht="58" x14ac:dyDescent="0.35">
      <c r="A610" s="107">
        <v>620</v>
      </c>
      <c r="B610" s="107" t="s">
        <v>572</v>
      </c>
      <c r="C610" s="107" t="s">
        <v>575</v>
      </c>
      <c r="D610" s="8" t="s">
        <v>1954</v>
      </c>
      <c r="E610" s="8"/>
      <c r="F610" s="8" t="s">
        <v>2669</v>
      </c>
    </row>
    <row r="611" spans="1:6" ht="50.5" customHeight="1" x14ac:dyDescent="0.35">
      <c r="A611" s="164" t="s">
        <v>501</v>
      </c>
      <c r="B611" s="164" t="s">
        <v>535</v>
      </c>
      <c r="C611" s="166" t="s">
        <v>502</v>
      </c>
      <c r="D611" s="123" t="s">
        <v>2667</v>
      </c>
      <c r="E611" s="8"/>
      <c r="F611" s="8"/>
    </row>
    <row r="612" spans="1:6" ht="101.5" x14ac:dyDescent="0.35">
      <c r="A612" s="164" t="s">
        <v>500</v>
      </c>
      <c r="B612" s="164" t="s">
        <v>2671</v>
      </c>
      <c r="C612" s="166" t="s">
        <v>2672</v>
      </c>
      <c r="D612" s="218" t="s">
        <v>2673</v>
      </c>
      <c r="E612" s="8"/>
      <c r="F612" s="164" t="s">
        <v>2674</v>
      </c>
    </row>
    <row r="613" spans="1:6" ht="50.5" customHeight="1" x14ac:dyDescent="0.35">
      <c r="A613" s="128">
        <v>510</v>
      </c>
      <c r="B613" s="18" t="s">
        <v>475</v>
      </c>
      <c r="C613" s="18" t="s">
        <v>564</v>
      </c>
      <c r="D613" s="18" t="s">
        <v>2676</v>
      </c>
      <c r="E613" s="50"/>
      <c r="F613" s="18"/>
    </row>
    <row r="614" spans="1:6" ht="50.5" customHeight="1" x14ac:dyDescent="0.35">
      <c r="A614" s="20">
        <v>637</v>
      </c>
      <c r="B614" s="8" t="s">
        <v>580</v>
      </c>
      <c r="C614" s="8" t="s">
        <v>584</v>
      </c>
      <c r="D614" s="128" t="s">
        <v>2685</v>
      </c>
      <c r="E614" s="18"/>
      <c r="F614" s="8" t="s">
        <v>2677</v>
      </c>
    </row>
    <row r="615" spans="1:6" ht="50.5" customHeight="1" x14ac:dyDescent="0.35">
      <c r="A615" s="107">
        <v>649</v>
      </c>
      <c r="B615" s="107" t="s">
        <v>495</v>
      </c>
      <c r="C615" s="107" t="s">
        <v>593</v>
      </c>
      <c r="D615" s="107" t="s">
        <v>2676</v>
      </c>
      <c r="E615" s="18"/>
      <c r="F615" s="107"/>
    </row>
    <row r="616" spans="1:6" ht="50.5" customHeight="1" x14ac:dyDescent="0.35">
      <c r="A616" s="8">
        <v>660</v>
      </c>
      <c r="B616" s="8" t="s">
        <v>475</v>
      </c>
      <c r="C616" s="8" t="s">
        <v>606</v>
      </c>
      <c r="D616" s="223" t="s">
        <v>2679</v>
      </c>
      <c r="E616" s="222"/>
      <c r="F616" s="107"/>
    </row>
    <row r="617" spans="1:6" ht="50.5" customHeight="1" x14ac:dyDescent="0.35">
      <c r="A617" s="164" t="s">
        <v>519</v>
      </c>
      <c r="B617" s="164" t="s">
        <v>2671</v>
      </c>
      <c r="C617" s="166" t="s">
        <v>520</v>
      </c>
      <c r="D617" s="123" t="s">
        <v>2676</v>
      </c>
      <c r="E617" s="93"/>
      <c r="F617" s="164"/>
    </row>
    <row r="618" spans="1:6" ht="50.5" customHeight="1" x14ac:dyDescent="0.35">
      <c r="A618" s="117" t="s">
        <v>494</v>
      </c>
      <c r="B618" s="7" t="s">
        <v>2671</v>
      </c>
      <c r="C618" s="149" t="s">
        <v>496</v>
      </c>
      <c r="D618" s="8" t="s">
        <v>2685</v>
      </c>
      <c r="E618" s="8"/>
      <c r="F618" s="8" t="s">
        <v>2677</v>
      </c>
    </row>
    <row r="619" spans="1:6" ht="50.5" customHeight="1" x14ac:dyDescent="0.35">
      <c r="A619" s="107">
        <v>634</v>
      </c>
      <c r="B619" s="107" t="s">
        <v>580</v>
      </c>
      <c r="C619" s="107" t="s">
        <v>583</v>
      </c>
      <c r="D619" s="224" t="s">
        <v>2703</v>
      </c>
      <c r="E619" s="18"/>
      <c r="F619" s="107" t="s">
        <v>2702</v>
      </c>
    </row>
  </sheetData>
  <phoneticPr fontId="31" type="noConversion"/>
  <conditionalFormatting sqref="C12 C53 C55:C56 C60:C61 C70">
    <cfRule type="expression" dxfId="1" priority="32">
      <formula>$C12="resolved"</formula>
    </cfRule>
  </conditionalFormatting>
  <conditionalFormatting sqref="F2 F4:F5 F10:F13 F29:F32 F34 C36:C40 F36:F40 F52:F54 F57:F74 F76 F78:F80 F85:F86 F88:F89 F103 F108 F111 F118 F121:F122 F127 F129:F130 F133 F135 F137:F138 F143 F146 F148:F151 F153 F155:F157 F159 F165:F169 F172:F173 F176 F178 F183 F196:F198">
    <cfRule type="expression" dxfId="0" priority="33">
      <formula>$B2="resolved"</formula>
    </cfRule>
  </conditionalFormatting>
  <hyperlinks>
    <hyperlink ref="C516" r:id="rId1" location="data-element-4-13" display="https://www.gov.uk/government/publications/cds-uk-trade-tariff-volume-3-import-declaration-completion-guide/group-4-valuation-information-and-taxes - data-element-4-13" xr:uid="{7FF95552-78C2-47EB-84C4-752731D800B0}"/>
  </hyperlinks>
  <pageMargins left="0.7" right="0.7" top="0.75" bottom="0.75" header="0.3" footer="0.3"/>
  <pageSetup paperSize="9" orientation="portrait" horizontalDpi="90" verticalDpi="90" r:id="rId2"/>
  <headerFooter>
    <oddFooter>&amp;C&amp;1#&amp;"Calibri"&amp;10&amp;K000000OFFICIAL</oddFooter>
  </headerFooter>
  <ignoredErrors>
    <ignoredError sqref="A620:A1048575" numberStoredAsText="1"/>
  </ignoredErrors>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filterMode="1"/>
  <dimension ref="A1:L1869"/>
  <sheetViews>
    <sheetView topLeftCell="A1848" zoomScale="50" workbookViewId="0">
      <selection activeCell="E1870" sqref="E1870"/>
    </sheetView>
  </sheetViews>
  <sheetFormatPr defaultRowHeight="14.5" x14ac:dyDescent="0.35"/>
  <cols>
    <col min="2" max="2" width="10.1796875" style="39" bestFit="1" customWidth="1"/>
    <col min="3" max="3" width="19.81640625" style="71" customWidth="1"/>
    <col min="4" max="4" width="21.26953125" style="39" customWidth="1"/>
    <col min="5" max="5" width="13.1796875" customWidth="1"/>
    <col min="8" max="8" width="31.90625" bestFit="1" customWidth="1"/>
    <col min="9" max="9" width="27.54296875" bestFit="1" customWidth="1"/>
    <col min="10" max="12" width="30.54296875" customWidth="1"/>
    <col min="13" max="13" width="30.54296875" bestFit="1" customWidth="1"/>
    <col min="14" max="14" width="11.26953125" customWidth="1"/>
    <col min="15" max="15" width="13.7265625" customWidth="1"/>
    <col min="16" max="16" width="12.54296875" customWidth="1"/>
    <col min="17" max="17" width="18.54296875" customWidth="1"/>
    <col min="18" max="18" width="11.453125" customWidth="1"/>
    <col min="19" max="19" width="11.26953125" customWidth="1"/>
    <col min="20" max="20" width="24.453125" bestFit="1" customWidth="1"/>
    <col min="21" max="21" width="18.54296875" bestFit="1" customWidth="1"/>
    <col min="22" max="22" width="24.453125" bestFit="1" customWidth="1"/>
    <col min="23" max="23" width="14.453125" customWidth="1"/>
    <col min="24" max="24" width="24.453125" bestFit="1" customWidth="1"/>
    <col min="25" max="25" width="19.453125" bestFit="1" customWidth="1"/>
    <col min="26" max="26" width="29.453125" bestFit="1" customWidth="1"/>
    <col min="27" max="326" width="16.26953125" bestFit="1" customWidth="1"/>
    <col min="327" max="327" width="11.26953125" bestFit="1" customWidth="1"/>
  </cols>
  <sheetData>
    <row r="1" spans="1:10" x14ac:dyDescent="0.35">
      <c r="A1" s="31"/>
      <c r="B1" s="40"/>
      <c r="C1" s="40"/>
      <c r="D1" s="40"/>
      <c r="E1" s="31"/>
      <c r="F1" s="31"/>
      <c r="G1" s="31"/>
      <c r="I1" s="31"/>
      <c r="J1" s="31"/>
    </row>
    <row r="2" spans="1:10" ht="17.25" customHeight="1" x14ac:dyDescent="0.35">
      <c r="A2" s="31"/>
      <c r="B2" s="40" t="str">
        <f>'Landing Page'!E10</f>
        <v>260521</v>
      </c>
      <c r="C2" s="40"/>
      <c r="D2" s="40"/>
      <c r="E2" s="31"/>
      <c r="F2" s="31"/>
      <c r="G2" s="31"/>
      <c r="J2" s="31"/>
    </row>
    <row r="3" spans="1:10" x14ac:dyDescent="0.35">
      <c r="A3" s="31"/>
      <c r="B3" s="40"/>
      <c r="C3" s="40"/>
      <c r="D3" s="56" t="s">
        <v>1967</v>
      </c>
      <c r="E3" s="43">
        <v>0</v>
      </c>
      <c r="F3" s="31"/>
      <c r="G3" s="31"/>
      <c r="J3" s="46"/>
    </row>
    <row r="4" spans="1:10" x14ac:dyDescent="0.35">
      <c r="A4" s="31"/>
      <c r="B4" s="40"/>
      <c r="C4" s="40"/>
      <c r="D4" s="57" t="s">
        <v>1968</v>
      </c>
      <c r="E4" s="44">
        <v>0</v>
      </c>
      <c r="F4" s="31"/>
      <c r="G4" s="31"/>
      <c r="J4" s="45"/>
    </row>
    <row r="5" spans="1:10" x14ac:dyDescent="0.35">
      <c r="A5" s="31"/>
      <c r="B5" s="40"/>
      <c r="C5" s="40"/>
      <c r="D5" s="57" t="s">
        <v>1969</v>
      </c>
      <c r="E5" s="44">
        <f>SUMIFS(A$29:A$1048576,C$29:C$1048576,D5, D$29:D$1048576,$B$2)</f>
        <v>0</v>
      </c>
      <c r="F5" s="31"/>
      <c r="G5" s="31"/>
      <c r="J5" s="45"/>
    </row>
    <row r="6" spans="1:10" x14ac:dyDescent="0.35">
      <c r="A6" s="31"/>
      <c r="B6" s="40"/>
      <c r="C6" s="40"/>
      <c r="D6" s="56" t="s">
        <v>1970</v>
      </c>
      <c r="E6" s="43">
        <v>0</v>
      </c>
      <c r="F6" s="31"/>
      <c r="G6" s="31"/>
      <c r="J6" s="45"/>
    </row>
    <row r="7" spans="1:10" x14ac:dyDescent="0.35">
      <c r="A7" s="31"/>
      <c r="B7" s="40"/>
      <c r="C7" s="40"/>
      <c r="D7" s="57" t="s">
        <v>1971</v>
      </c>
      <c r="E7" s="44">
        <v>1</v>
      </c>
      <c r="F7" s="31"/>
      <c r="G7" s="31"/>
      <c r="J7" s="45"/>
    </row>
    <row r="8" spans="1:10" x14ac:dyDescent="0.35">
      <c r="A8" s="31"/>
      <c r="B8" s="40"/>
      <c r="C8" s="40"/>
      <c r="D8" s="57" t="s">
        <v>1972</v>
      </c>
      <c r="E8" s="44">
        <v>0</v>
      </c>
      <c r="F8" s="31"/>
      <c r="G8" s="31"/>
      <c r="J8" s="45"/>
    </row>
    <row r="9" spans="1:10" x14ac:dyDescent="0.35">
      <c r="A9" s="31"/>
      <c r="B9" s="40"/>
      <c r="C9" s="40"/>
      <c r="D9" s="57" t="s">
        <v>1973</v>
      </c>
      <c r="E9" s="44">
        <v>0</v>
      </c>
      <c r="F9" s="31"/>
      <c r="G9" s="31"/>
      <c r="J9" s="45"/>
    </row>
    <row r="10" spans="1:10" x14ac:dyDescent="0.35">
      <c r="A10" s="31"/>
      <c r="B10" s="40"/>
      <c r="C10" s="40"/>
      <c r="D10" s="57" t="s">
        <v>1974</v>
      </c>
      <c r="E10" s="44">
        <f>SUMIFS(A$29:A$1048576,C$29:C$1048576,D10, D$29:D$1048576,$B$2)</f>
        <v>0</v>
      </c>
      <c r="F10" s="31"/>
      <c r="G10" s="31"/>
      <c r="J10" s="45"/>
    </row>
    <row r="11" spans="1:10" x14ac:dyDescent="0.35">
      <c r="A11" s="31"/>
      <c r="B11" s="40"/>
      <c r="C11" s="40"/>
      <c r="D11" s="57" t="s">
        <v>1975</v>
      </c>
      <c r="E11" s="44">
        <f>SUMIFS(A$29:A$1048576,C$29:C$1048576,D11, D$29:D$1048576,$B$2)</f>
        <v>0</v>
      </c>
      <c r="F11" s="31"/>
      <c r="G11" s="31"/>
      <c r="J11" s="45"/>
    </row>
    <row r="12" spans="1:10" x14ac:dyDescent="0.35">
      <c r="A12" s="31"/>
      <c r="B12" s="40"/>
      <c r="C12" s="40"/>
      <c r="D12" s="57" t="s">
        <v>1976</v>
      </c>
      <c r="E12" s="44">
        <v>1</v>
      </c>
      <c r="F12" s="31"/>
      <c r="G12" s="31"/>
    </row>
    <row r="13" spans="1:10" x14ac:dyDescent="0.35">
      <c r="A13" s="31"/>
      <c r="B13" s="40"/>
      <c r="C13" s="40"/>
      <c r="D13" s="58" t="s">
        <v>2</v>
      </c>
      <c r="E13" s="42">
        <v>0</v>
      </c>
      <c r="F13" s="31"/>
      <c r="G13" s="31"/>
    </row>
    <row r="14" spans="1:10" ht="44.15" customHeight="1" x14ac:dyDescent="0.35">
      <c r="A14" s="31"/>
      <c r="B14" s="40"/>
      <c r="C14" s="40"/>
      <c r="D14" s="58" t="s">
        <v>1</v>
      </c>
      <c r="E14" s="42">
        <v>1</v>
      </c>
      <c r="F14" s="31"/>
      <c r="G14" s="31"/>
    </row>
    <row r="15" spans="1:10" x14ac:dyDescent="0.35">
      <c r="A15" s="31"/>
      <c r="B15" s="40"/>
      <c r="C15" s="40"/>
      <c r="D15" s="40"/>
      <c r="E15" s="31"/>
      <c r="F15" s="31"/>
      <c r="G15" s="31"/>
    </row>
    <row r="16" spans="1:10" x14ac:dyDescent="0.35">
      <c r="A16" s="31"/>
      <c r="B16" s="40"/>
      <c r="C16" s="40"/>
      <c r="D16" s="40"/>
      <c r="E16" s="31"/>
      <c r="F16" s="31"/>
      <c r="G16" s="31"/>
      <c r="H16" s="35" t="s">
        <v>1977</v>
      </c>
    </row>
    <row r="17" spans="1:9" x14ac:dyDescent="0.35">
      <c r="A17" s="31"/>
      <c r="B17" s="40"/>
      <c r="C17" s="40"/>
      <c r="D17" s="40"/>
      <c r="E17" s="31"/>
      <c r="F17" s="31"/>
      <c r="G17" s="31"/>
      <c r="H17" s="34" t="s">
        <v>1978</v>
      </c>
      <c r="I17" t="s">
        <v>1979</v>
      </c>
    </row>
    <row r="18" spans="1:9" x14ac:dyDescent="0.35">
      <c r="A18" s="31"/>
      <c r="B18" s="40"/>
      <c r="C18" s="40"/>
      <c r="D18" s="40"/>
      <c r="E18" s="31"/>
      <c r="F18" s="31"/>
      <c r="G18" s="31"/>
      <c r="H18" s="35" t="s">
        <v>475</v>
      </c>
      <c r="I18" s="225">
        <v>6</v>
      </c>
    </row>
    <row r="19" spans="1:9" x14ac:dyDescent="0.35">
      <c r="A19" s="31"/>
      <c r="B19" s="40"/>
      <c r="C19" s="40"/>
      <c r="D19" s="40"/>
      <c r="E19" s="31"/>
      <c r="F19" s="31"/>
      <c r="G19" s="31"/>
      <c r="H19" s="35" t="s">
        <v>495</v>
      </c>
      <c r="I19" s="225">
        <v>3</v>
      </c>
    </row>
    <row r="20" spans="1:9" x14ac:dyDescent="0.35">
      <c r="A20" s="31"/>
      <c r="B20" s="40"/>
      <c r="C20" s="40"/>
      <c r="D20" s="40"/>
      <c r="E20" s="31"/>
      <c r="F20" s="31"/>
      <c r="G20" s="31"/>
      <c r="H20" s="35" t="s">
        <v>535</v>
      </c>
      <c r="I20" s="225">
        <v>7</v>
      </c>
    </row>
    <row r="21" spans="1:9" x14ac:dyDescent="0.35">
      <c r="A21" s="31"/>
      <c r="B21" s="40"/>
      <c r="C21" s="40"/>
      <c r="D21" s="40"/>
      <c r="E21" s="31"/>
      <c r="F21" s="31"/>
      <c r="G21" s="31"/>
      <c r="H21" s="35" t="s">
        <v>530</v>
      </c>
      <c r="I21" s="225">
        <v>6</v>
      </c>
    </row>
    <row r="22" spans="1:9" x14ac:dyDescent="0.35">
      <c r="A22" s="31"/>
      <c r="B22" s="40"/>
      <c r="C22" s="40"/>
      <c r="D22" s="40"/>
      <c r="E22" s="31"/>
      <c r="F22" s="31"/>
      <c r="G22" s="31"/>
      <c r="H22" s="35" t="s">
        <v>561</v>
      </c>
      <c r="I22" s="225">
        <v>2</v>
      </c>
    </row>
    <row r="23" spans="1:9" x14ac:dyDescent="0.35">
      <c r="A23" s="31"/>
      <c r="B23" s="40"/>
      <c r="C23" s="40"/>
      <c r="D23" s="40"/>
      <c r="E23" s="31"/>
      <c r="F23" s="31"/>
      <c r="G23" s="31"/>
      <c r="H23" s="35" t="s">
        <v>543</v>
      </c>
      <c r="I23" s="225">
        <v>2</v>
      </c>
    </row>
    <row r="24" spans="1:9" x14ac:dyDescent="0.35">
      <c r="A24" s="31"/>
      <c r="B24" s="40"/>
      <c r="C24" s="40"/>
      <c r="D24" s="40"/>
      <c r="E24" s="31"/>
      <c r="F24" s="31"/>
      <c r="G24" s="31"/>
      <c r="H24" s="35" t="s">
        <v>572</v>
      </c>
      <c r="I24" s="225">
        <v>3</v>
      </c>
    </row>
    <row r="25" spans="1:9" x14ac:dyDescent="0.35">
      <c r="A25" s="31"/>
      <c r="B25" s="40"/>
      <c r="C25" s="40"/>
      <c r="D25" s="40"/>
      <c r="E25" s="31"/>
      <c r="F25" s="31"/>
      <c r="G25" s="31"/>
      <c r="H25" s="35" t="s">
        <v>569</v>
      </c>
      <c r="I25" s="225">
        <v>2</v>
      </c>
    </row>
    <row r="26" spans="1:9" x14ac:dyDescent="0.35">
      <c r="A26" s="31"/>
      <c r="B26" s="40"/>
      <c r="C26" s="40"/>
      <c r="D26" s="40"/>
      <c r="E26" s="31"/>
      <c r="F26" s="31"/>
      <c r="G26" s="31"/>
      <c r="H26" s="35" t="s">
        <v>580</v>
      </c>
      <c r="I26" s="225">
        <v>3</v>
      </c>
    </row>
    <row r="27" spans="1:9" x14ac:dyDescent="0.35">
      <c r="A27" s="31"/>
      <c r="B27" s="40"/>
      <c r="C27" s="40"/>
      <c r="D27" s="40"/>
      <c r="E27" s="31"/>
      <c r="F27" s="31"/>
      <c r="G27" s="31"/>
      <c r="H27" s="35" t="s">
        <v>2694</v>
      </c>
      <c r="I27" s="225">
        <v>1</v>
      </c>
    </row>
    <row r="28" spans="1:9" x14ac:dyDescent="0.35">
      <c r="A28" s="53" t="s">
        <v>1980</v>
      </c>
      <c r="B28" s="59" t="s">
        <v>521</v>
      </c>
      <c r="C28" s="59" t="s">
        <v>436</v>
      </c>
      <c r="D28" s="59" t="s">
        <v>8</v>
      </c>
      <c r="E28" s="54" t="s">
        <v>10</v>
      </c>
      <c r="F28" s="31"/>
      <c r="G28" s="31"/>
    </row>
    <row r="29" spans="1:9" x14ac:dyDescent="0.35">
      <c r="A29" s="47">
        <v>1</v>
      </c>
      <c r="B29" s="48" t="s">
        <v>1981</v>
      </c>
      <c r="C29" s="48" t="s">
        <v>1968</v>
      </c>
      <c r="D29" s="48">
        <v>190801</v>
      </c>
      <c r="E29" s="49">
        <v>43678</v>
      </c>
      <c r="F29" s="31"/>
      <c r="G29" s="31"/>
    </row>
    <row r="30" spans="1:9" x14ac:dyDescent="0.35">
      <c r="A30" s="47">
        <v>1</v>
      </c>
      <c r="B30" s="48" t="s">
        <v>1982</v>
      </c>
      <c r="C30" s="48" t="s">
        <v>1968</v>
      </c>
      <c r="D30" s="48">
        <v>190801</v>
      </c>
      <c r="E30" s="49">
        <v>43678</v>
      </c>
      <c r="F30" s="31"/>
      <c r="G30" s="31"/>
    </row>
    <row r="31" spans="1:9" x14ac:dyDescent="0.35">
      <c r="A31" s="47">
        <v>1</v>
      </c>
      <c r="B31" s="48" t="s">
        <v>1983</v>
      </c>
      <c r="C31" s="48" t="s">
        <v>1968</v>
      </c>
      <c r="D31" s="48">
        <v>190801</v>
      </c>
      <c r="E31" s="49">
        <v>43678</v>
      </c>
      <c r="F31" s="31"/>
      <c r="G31" s="31"/>
    </row>
    <row r="32" spans="1:9" x14ac:dyDescent="0.35">
      <c r="A32" s="47">
        <v>1</v>
      </c>
      <c r="B32" s="48" t="s">
        <v>1984</v>
      </c>
      <c r="C32" s="48" t="s">
        <v>1968</v>
      </c>
      <c r="D32" s="48">
        <v>190801</v>
      </c>
      <c r="E32" s="49">
        <v>43678</v>
      </c>
      <c r="F32" s="31"/>
      <c r="G32" s="31"/>
    </row>
    <row r="33" spans="1:12" x14ac:dyDescent="0.35">
      <c r="A33" s="47">
        <v>1</v>
      </c>
      <c r="B33" s="48" t="s">
        <v>1985</v>
      </c>
      <c r="C33" s="48" t="s">
        <v>1968</v>
      </c>
      <c r="D33" s="48">
        <v>190801</v>
      </c>
      <c r="E33" s="49">
        <v>43678</v>
      </c>
      <c r="F33" s="31"/>
      <c r="G33" s="31"/>
    </row>
    <row r="34" spans="1:12" x14ac:dyDescent="0.35">
      <c r="A34" s="47">
        <v>1</v>
      </c>
      <c r="B34" s="48" t="s">
        <v>1986</v>
      </c>
      <c r="C34" s="48" t="s">
        <v>1970</v>
      </c>
      <c r="D34" s="48">
        <v>190801</v>
      </c>
      <c r="E34" s="49">
        <v>43678</v>
      </c>
      <c r="F34" s="31"/>
      <c r="G34" s="31"/>
    </row>
    <row r="35" spans="1:12" x14ac:dyDescent="0.35">
      <c r="A35" s="47">
        <v>1</v>
      </c>
      <c r="B35" s="48" t="s">
        <v>1987</v>
      </c>
      <c r="C35" s="48" t="s">
        <v>1968</v>
      </c>
      <c r="D35" s="48">
        <v>190808</v>
      </c>
      <c r="E35" s="49">
        <v>43685</v>
      </c>
      <c r="F35" s="31"/>
      <c r="G35" s="31"/>
      <c r="L35" s="35"/>
    </row>
    <row r="36" spans="1:12" x14ac:dyDescent="0.35">
      <c r="A36" s="47">
        <v>1</v>
      </c>
      <c r="B36" s="48" t="s">
        <v>1988</v>
      </c>
      <c r="C36" s="48" t="s">
        <v>1968</v>
      </c>
      <c r="D36" s="48">
        <v>190808</v>
      </c>
      <c r="E36" s="49">
        <v>43685</v>
      </c>
      <c r="F36" s="31"/>
      <c r="G36" s="31"/>
      <c r="L36" s="35"/>
    </row>
    <row r="37" spans="1:12" x14ac:dyDescent="0.35">
      <c r="A37" s="47">
        <v>1</v>
      </c>
      <c r="B37" s="48" t="s">
        <v>1989</v>
      </c>
      <c r="C37" s="48" t="s">
        <v>1968</v>
      </c>
      <c r="D37" s="48">
        <v>190808</v>
      </c>
      <c r="E37" s="49">
        <v>43685</v>
      </c>
      <c r="F37" s="31"/>
      <c r="G37" s="31"/>
    </row>
    <row r="38" spans="1:12" x14ac:dyDescent="0.35">
      <c r="A38" s="47">
        <v>1</v>
      </c>
      <c r="B38" s="48" t="s">
        <v>1990</v>
      </c>
      <c r="C38" s="48" t="s">
        <v>1968</v>
      </c>
      <c r="D38" s="48">
        <v>190808</v>
      </c>
      <c r="E38" s="49">
        <v>43685</v>
      </c>
      <c r="F38" s="31"/>
      <c r="G38" s="31"/>
    </row>
    <row r="39" spans="1:12" x14ac:dyDescent="0.35">
      <c r="A39" s="47">
        <v>1</v>
      </c>
      <c r="B39" s="48" t="s">
        <v>1991</v>
      </c>
      <c r="C39" s="48" t="s">
        <v>1968</v>
      </c>
      <c r="D39" s="48">
        <v>190808</v>
      </c>
      <c r="E39" s="49">
        <v>43685</v>
      </c>
      <c r="F39" s="31"/>
      <c r="G39" s="31"/>
    </row>
    <row r="40" spans="1:12" x14ac:dyDescent="0.35">
      <c r="A40" s="47">
        <v>1</v>
      </c>
      <c r="B40" s="48" t="s">
        <v>1992</v>
      </c>
      <c r="C40" s="48" t="s">
        <v>1970</v>
      </c>
      <c r="D40" s="48">
        <v>190808</v>
      </c>
      <c r="E40" s="49">
        <v>43685</v>
      </c>
      <c r="F40" s="31"/>
      <c r="G40" s="31"/>
    </row>
    <row r="41" spans="1:12" x14ac:dyDescent="0.35">
      <c r="A41" s="47">
        <v>1</v>
      </c>
      <c r="B41" s="48" t="s">
        <v>1993</v>
      </c>
      <c r="C41" s="48" t="s">
        <v>1970</v>
      </c>
      <c r="D41" s="48">
        <v>190808</v>
      </c>
      <c r="E41" s="49">
        <v>43685</v>
      </c>
      <c r="F41" s="31"/>
      <c r="G41" s="31"/>
    </row>
    <row r="42" spans="1:12" x14ac:dyDescent="0.35">
      <c r="A42" s="47">
        <v>1</v>
      </c>
      <c r="B42" s="48" t="s">
        <v>1994</v>
      </c>
      <c r="C42" s="48" t="s">
        <v>1970</v>
      </c>
      <c r="D42" s="48">
        <v>190808</v>
      </c>
      <c r="E42" s="49">
        <v>43685</v>
      </c>
      <c r="F42" s="31"/>
      <c r="G42" s="31"/>
    </row>
    <row r="43" spans="1:12" x14ac:dyDescent="0.35">
      <c r="A43" s="47">
        <v>1</v>
      </c>
      <c r="B43" s="48" t="s">
        <v>1995</v>
      </c>
      <c r="C43" s="48" t="s">
        <v>1970</v>
      </c>
      <c r="D43" s="48">
        <v>190808</v>
      </c>
      <c r="E43" s="49">
        <v>43685</v>
      </c>
      <c r="F43" s="31"/>
      <c r="G43" s="31"/>
    </row>
    <row r="44" spans="1:12" x14ac:dyDescent="0.35">
      <c r="A44" s="47">
        <v>1</v>
      </c>
      <c r="B44" s="48" t="s">
        <v>1996</v>
      </c>
      <c r="C44" s="48" t="s">
        <v>1970</v>
      </c>
      <c r="D44" s="48">
        <v>190808</v>
      </c>
      <c r="E44" s="49">
        <v>43685</v>
      </c>
      <c r="F44" s="31"/>
      <c r="G44" s="31"/>
    </row>
    <row r="45" spans="1:12" x14ac:dyDescent="0.35">
      <c r="A45" s="47">
        <v>1</v>
      </c>
      <c r="B45" s="48" t="s">
        <v>1997</v>
      </c>
      <c r="C45" s="48" t="s">
        <v>1970</v>
      </c>
      <c r="D45" s="48">
        <v>190808</v>
      </c>
      <c r="E45" s="49">
        <v>43685</v>
      </c>
      <c r="F45" s="31"/>
      <c r="G45" s="31"/>
    </row>
    <row r="46" spans="1:12" x14ac:dyDescent="0.35">
      <c r="A46" s="47">
        <v>1</v>
      </c>
      <c r="B46" s="48" t="s">
        <v>1998</v>
      </c>
      <c r="C46" s="48" t="s">
        <v>1970</v>
      </c>
      <c r="D46" s="48">
        <v>190808</v>
      </c>
      <c r="E46" s="49">
        <v>43685</v>
      </c>
      <c r="F46" s="31"/>
      <c r="G46" s="31"/>
    </row>
    <row r="47" spans="1:12" x14ac:dyDescent="0.35">
      <c r="A47" s="47">
        <v>1</v>
      </c>
      <c r="B47" s="48" t="s">
        <v>1999</v>
      </c>
      <c r="C47" s="48" t="s">
        <v>1970</v>
      </c>
      <c r="D47" s="48">
        <v>190808</v>
      </c>
      <c r="E47" s="49">
        <v>43685</v>
      </c>
      <c r="F47" s="31"/>
      <c r="G47" s="31"/>
    </row>
    <row r="48" spans="1:12" x14ac:dyDescent="0.35">
      <c r="A48" s="47">
        <v>1</v>
      </c>
      <c r="B48" s="48" t="s">
        <v>1985</v>
      </c>
      <c r="C48" s="48" t="s">
        <v>1970</v>
      </c>
      <c r="D48" s="48">
        <v>190808</v>
      </c>
      <c r="E48" s="49">
        <v>43685</v>
      </c>
      <c r="F48" s="31"/>
      <c r="G48" s="31"/>
    </row>
    <row r="49" spans="1:7" x14ac:dyDescent="0.35">
      <c r="A49" s="47">
        <v>1</v>
      </c>
      <c r="B49" s="48" t="s">
        <v>2000</v>
      </c>
      <c r="C49" s="48" t="s">
        <v>1968</v>
      </c>
      <c r="D49" s="48">
        <v>190812</v>
      </c>
      <c r="E49" s="49">
        <v>43689</v>
      </c>
      <c r="F49" s="31"/>
      <c r="G49" s="31"/>
    </row>
    <row r="50" spans="1:7" x14ac:dyDescent="0.35">
      <c r="A50" s="47">
        <v>1</v>
      </c>
      <c r="B50" s="48" t="s">
        <v>2001</v>
      </c>
      <c r="C50" s="48" t="s">
        <v>1968</v>
      </c>
      <c r="D50" s="48">
        <v>190905</v>
      </c>
      <c r="E50" s="49">
        <v>43713</v>
      </c>
      <c r="F50" s="31"/>
      <c r="G50" s="31"/>
    </row>
    <row r="51" spans="1:7" x14ac:dyDescent="0.35">
      <c r="A51" s="47">
        <v>1</v>
      </c>
      <c r="B51" s="48" t="s">
        <v>2002</v>
      </c>
      <c r="C51" s="48" t="s">
        <v>1968</v>
      </c>
      <c r="D51" s="48">
        <v>190905</v>
      </c>
      <c r="E51" s="49">
        <v>43713</v>
      </c>
      <c r="F51" s="31"/>
      <c r="G51" s="31"/>
    </row>
    <row r="52" spans="1:7" x14ac:dyDescent="0.35">
      <c r="A52" s="47">
        <v>1</v>
      </c>
      <c r="B52" s="48" t="s">
        <v>2003</v>
      </c>
      <c r="C52" s="48" t="s">
        <v>1968</v>
      </c>
      <c r="D52" s="48">
        <v>190905</v>
      </c>
      <c r="E52" s="49">
        <v>43713</v>
      </c>
      <c r="F52" s="31"/>
      <c r="G52" s="31"/>
    </row>
    <row r="53" spans="1:7" x14ac:dyDescent="0.35">
      <c r="A53" s="47">
        <v>1</v>
      </c>
      <c r="B53" s="48" t="s">
        <v>2004</v>
      </c>
      <c r="C53" s="48" t="s">
        <v>1968</v>
      </c>
      <c r="D53" s="48">
        <v>190905</v>
      </c>
      <c r="E53" s="49">
        <v>43713</v>
      </c>
      <c r="F53" s="31"/>
      <c r="G53" s="31"/>
    </row>
    <row r="54" spans="1:7" x14ac:dyDescent="0.35">
      <c r="A54" s="47">
        <v>1</v>
      </c>
      <c r="B54" s="48" t="s">
        <v>2005</v>
      </c>
      <c r="C54" s="48" t="s">
        <v>1968</v>
      </c>
      <c r="D54" s="48">
        <v>190905</v>
      </c>
      <c r="E54" s="49">
        <v>43713</v>
      </c>
      <c r="F54" s="31"/>
      <c r="G54" s="31"/>
    </row>
    <row r="55" spans="1:7" x14ac:dyDescent="0.35">
      <c r="A55" s="47">
        <v>1</v>
      </c>
      <c r="B55" s="48" t="s">
        <v>2006</v>
      </c>
      <c r="C55" s="48" t="s">
        <v>1968</v>
      </c>
      <c r="D55" s="48">
        <v>190905</v>
      </c>
      <c r="E55" s="49">
        <v>43713</v>
      </c>
      <c r="F55" s="31"/>
      <c r="G55" s="31"/>
    </row>
    <row r="56" spans="1:7" x14ac:dyDescent="0.35">
      <c r="A56" s="47">
        <v>1</v>
      </c>
      <c r="B56" s="48" t="s">
        <v>2007</v>
      </c>
      <c r="C56" s="48" t="s">
        <v>1970</v>
      </c>
      <c r="D56" s="48">
        <v>190905</v>
      </c>
      <c r="E56" s="49">
        <v>43713</v>
      </c>
      <c r="F56" s="31"/>
      <c r="G56" s="31"/>
    </row>
    <row r="57" spans="1:7" x14ac:dyDescent="0.35">
      <c r="A57" s="47">
        <v>1</v>
      </c>
      <c r="B57" s="48" t="s">
        <v>2008</v>
      </c>
      <c r="C57" s="48" t="s">
        <v>1970</v>
      </c>
      <c r="D57" s="48">
        <v>190905</v>
      </c>
      <c r="E57" s="49">
        <v>43713</v>
      </c>
      <c r="F57" s="31"/>
      <c r="G57" s="31"/>
    </row>
    <row r="58" spans="1:7" x14ac:dyDescent="0.35">
      <c r="A58" s="47">
        <v>1</v>
      </c>
      <c r="B58" s="48" t="s">
        <v>2009</v>
      </c>
      <c r="C58" s="48" t="s">
        <v>1970</v>
      </c>
      <c r="D58" s="48">
        <v>190905</v>
      </c>
      <c r="E58" s="49">
        <v>43713</v>
      </c>
      <c r="F58" s="31"/>
      <c r="G58" s="31"/>
    </row>
    <row r="59" spans="1:7" x14ac:dyDescent="0.35">
      <c r="A59" s="47">
        <v>1</v>
      </c>
      <c r="B59" s="48" t="s">
        <v>2010</v>
      </c>
      <c r="C59" s="48" t="s">
        <v>1970</v>
      </c>
      <c r="D59" s="48">
        <v>190905</v>
      </c>
      <c r="E59" s="49">
        <v>43713</v>
      </c>
      <c r="F59" s="31"/>
      <c r="G59" s="31"/>
    </row>
    <row r="60" spans="1:7" x14ac:dyDescent="0.35">
      <c r="A60" s="47">
        <v>1</v>
      </c>
      <c r="B60" s="48" t="s">
        <v>2011</v>
      </c>
      <c r="C60" s="48" t="s">
        <v>1970</v>
      </c>
      <c r="D60" s="48">
        <v>190905</v>
      </c>
      <c r="E60" s="49">
        <v>43713</v>
      </c>
      <c r="F60" s="31"/>
      <c r="G60" s="31"/>
    </row>
    <row r="61" spans="1:7" x14ac:dyDescent="0.35">
      <c r="A61" s="47">
        <v>1</v>
      </c>
      <c r="B61" s="48" t="s">
        <v>2012</v>
      </c>
      <c r="C61" s="48" t="s">
        <v>1970</v>
      </c>
      <c r="D61" s="48">
        <v>190905</v>
      </c>
      <c r="E61" s="49">
        <v>43713</v>
      </c>
      <c r="F61" s="31"/>
      <c r="G61" s="31"/>
    </row>
    <row r="62" spans="1:7" x14ac:dyDescent="0.35">
      <c r="A62" s="47">
        <v>1</v>
      </c>
      <c r="B62" s="48" t="s">
        <v>2013</v>
      </c>
      <c r="C62" s="48" t="s">
        <v>1970</v>
      </c>
      <c r="D62" s="48">
        <v>190905</v>
      </c>
      <c r="E62" s="49">
        <v>43713</v>
      </c>
      <c r="F62" s="31"/>
      <c r="G62" s="31"/>
    </row>
    <row r="63" spans="1:7" x14ac:dyDescent="0.35">
      <c r="A63" s="47">
        <v>1</v>
      </c>
      <c r="B63" s="48" t="s">
        <v>2014</v>
      </c>
      <c r="C63" s="48" t="s">
        <v>1970</v>
      </c>
      <c r="D63" s="48">
        <v>190905</v>
      </c>
      <c r="E63" s="49">
        <v>43713</v>
      </c>
      <c r="F63" s="31"/>
      <c r="G63" s="31"/>
    </row>
    <row r="64" spans="1:7" x14ac:dyDescent="0.35">
      <c r="A64" s="47">
        <v>1</v>
      </c>
      <c r="B64" s="48" t="s">
        <v>2015</v>
      </c>
      <c r="C64" s="48" t="s">
        <v>1970</v>
      </c>
      <c r="D64" s="48">
        <v>190905</v>
      </c>
      <c r="E64" s="49">
        <v>43713</v>
      </c>
      <c r="F64" s="31"/>
      <c r="G64" s="31"/>
    </row>
    <row r="65" spans="1:7" x14ac:dyDescent="0.35">
      <c r="A65" s="47">
        <v>1</v>
      </c>
      <c r="B65" s="48" t="s">
        <v>2016</v>
      </c>
      <c r="C65" s="48" t="s">
        <v>1970</v>
      </c>
      <c r="D65" s="48">
        <v>190905</v>
      </c>
      <c r="E65" s="49">
        <v>43713</v>
      </c>
      <c r="F65" s="31"/>
      <c r="G65" s="31"/>
    </row>
    <row r="66" spans="1:7" x14ac:dyDescent="0.35">
      <c r="A66" s="47">
        <v>1</v>
      </c>
      <c r="B66" s="48" t="s">
        <v>2017</v>
      </c>
      <c r="C66" s="48" t="s">
        <v>1970</v>
      </c>
      <c r="D66" s="48">
        <v>190905</v>
      </c>
      <c r="E66" s="49">
        <v>43713</v>
      </c>
      <c r="F66" s="31"/>
      <c r="G66" s="31"/>
    </row>
    <row r="67" spans="1:7" x14ac:dyDescent="0.35">
      <c r="A67" s="47">
        <v>1</v>
      </c>
      <c r="B67" s="48" t="s">
        <v>2018</v>
      </c>
      <c r="C67" s="48" t="s">
        <v>1970</v>
      </c>
      <c r="D67" s="48">
        <v>190905</v>
      </c>
      <c r="E67" s="49">
        <v>43713</v>
      </c>
      <c r="F67" s="31"/>
      <c r="G67" s="31"/>
    </row>
    <row r="68" spans="1:7" x14ac:dyDescent="0.35">
      <c r="A68" s="47">
        <v>1</v>
      </c>
      <c r="B68" s="48" t="s">
        <v>2019</v>
      </c>
      <c r="C68" s="48" t="s">
        <v>1970</v>
      </c>
      <c r="D68" s="48">
        <v>190905</v>
      </c>
      <c r="E68" s="49">
        <v>43713</v>
      </c>
      <c r="F68" s="31"/>
      <c r="G68" s="31"/>
    </row>
    <row r="69" spans="1:7" x14ac:dyDescent="0.35">
      <c r="A69" s="47">
        <v>1</v>
      </c>
      <c r="B69" s="48" t="s">
        <v>1988</v>
      </c>
      <c r="C69" s="48" t="s">
        <v>1970</v>
      </c>
      <c r="D69" s="48">
        <v>190905</v>
      </c>
      <c r="E69" s="49">
        <v>43713</v>
      </c>
      <c r="F69" s="31"/>
      <c r="G69" s="31"/>
    </row>
    <row r="70" spans="1:7" x14ac:dyDescent="0.35">
      <c r="A70" s="47">
        <v>1</v>
      </c>
      <c r="B70" s="48" t="s">
        <v>1989</v>
      </c>
      <c r="C70" s="48" t="s">
        <v>1970</v>
      </c>
      <c r="D70" s="48">
        <v>190905</v>
      </c>
      <c r="E70" s="49">
        <v>43713</v>
      </c>
      <c r="F70" s="31"/>
      <c r="G70" s="31"/>
    </row>
    <row r="71" spans="1:7" x14ac:dyDescent="0.35">
      <c r="A71" s="47">
        <v>1</v>
      </c>
      <c r="B71" s="48" t="s">
        <v>1990</v>
      </c>
      <c r="C71" s="48" t="s">
        <v>1970</v>
      </c>
      <c r="D71" s="48">
        <v>190905</v>
      </c>
      <c r="E71" s="49">
        <v>43713</v>
      </c>
      <c r="F71" s="31"/>
      <c r="G71" s="31"/>
    </row>
    <row r="72" spans="1:7" x14ac:dyDescent="0.35">
      <c r="A72" s="47">
        <v>1</v>
      </c>
      <c r="B72" s="48" t="s">
        <v>2020</v>
      </c>
      <c r="C72" s="48" t="s">
        <v>1968</v>
      </c>
      <c r="D72" s="48">
        <v>190909</v>
      </c>
      <c r="E72" s="49">
        <v>43717</v>
      </c>
      <c r="F72" s="31"/>
      <c r="G72" s="31"/>
    </row>
    <row r="73" spans="1:7" x14ac:dyDescent="0.35">
      <c r="A73" s="47">
        <v>1</v>
      </c>
      <c r="B73" s="48" t="s">
        <v>2021</v>
      </c>
      <c r="C73" s="48" t="s">
        <v>1968</v>
      </c>
      <c r="D73" s="48">
        <v>190909</v>
      </c>
      <c r="E73" s="49">
        <v>43717</v>
      </c>
      <c r="F73" s="31"/>
      <c r="G73" s="31"/>
    </row>
    <row r="74" spans="1:7" x14ac:dyDescent="0.35">
      <c r="A74" s="47">
        <v>1</v>
      </c>
      <c r="B74" s="48" t="s">
        <v>2022</v>
      </c>
      <c r="C74" s="48" t="s">
        <v>1968</v>
      </c>
      <c r="D74" s="48">
        <v>190909</v>
      </c>
      <c r="E74" s="49">
        <v>43717</v>
      </c>
      <c r="F74" s="31"/>
      <c r="G74" s="31"/>
    </row>
    <row r="75" spans="1:7" x14ac:dyDescent="0.35">
      <c r="A75" s="47">
        <v>1</v>
      </c>
      <c r="B75" s="48" t="s">
        <v>2023</v>
      </c>
      <c r="C75" s="48" t="s">
        <v>1970</v>
      </c>
      <c r="D75" s="48">
        <v>190909</v>
      </c>
      <c r="E75" s="49">
        <v>43717</v>
      </c>
      <c r="F75" s="31"/>
      <c r="G75" s="31"/>
    </row>
    <row r="76" spans="1:7" x14ac:dyDescent="0.35">
      <c r="A76" s="47">
        <v>1</v>
      </c>
      <c r="B76" s="48" t="s">
        <v>2022</v>
      </c>
      <c r="C76" s="48" t="s">
        <v>1968</v>
      </c>
      <c r="D76" s="48">
        <v>190923</v>
      </c>
      <c r="E76" s="49">
        <v>43731</v>
      </c>
      <c r="F76" s="31"/>
      <c r="G76" s="31"/>
    </row>
    <row r="77" spans="1:7" x14ac:dyDescent="0.35">
      <c r="A77" s="47">
        <v>1</v>
      </c>
      <c r="B77" s="48" t="s">
        <v>2024</v>
      </c>
      <c r="C77" s="48" t="s">
        <v>1968</v>
      </c>
      <c r="D77" s="48">
        <v>190923</v>
      </c>
      <c r="E77" s="49">
        <v>43731</v>
      </c>
      <c r="F77" s="31"/>
      <c r="G77" s="31"/>
    </row>
    <row r="78" spans="1:7" x14ac:dyDescent="0.35">
      <c r="A78" s="47">
        <v>1</v>
      </c>
      <c r="B78" s="48" t="s">
        <v>2025</v>
      </c>
      <c r="C78" s="48" t="s">
        <v>1968</v>
      </c>
      <c r="D78" s="48">
        <v>190923</v>
      </c>
      <c r="E78" s="49">
        <v>43731</v>
      </c>
      <c r="F78" s="31"/>
      <c r="G78" s="31"/>
    </row>
    <row r="79" spans="1:7" x14ac:dyDescent="0.35">
      <c r="A79" s="47">
        <v>1</v>
      </c>
      <c r="B79" s="48" t="s">
        <v>2026</v>
      </c>
      <c r="C79" s="48" t="s">
        <v>1968</v>
      </c>
      <c r="D79" s="48">
        <v>190923</v>
      </c>
      <c r="E79" s="49">
        <v>43731</v>
      </c>
      <c r="F79" s="31"/>
      <c r="G79" s="31"/>
    </row>
    <row r="80" spans="1:7" x14ac:dyDescent="0.35">
      <c r="A80" s="47">
        <v>1</v>
      </c>
      <c r="B80" s="48" t="s">
        <v>2027</v>
      </c>
      <c r="C80" s="48" t="s">
        <v>1968</v>
      </c>
      <c r="D80" s="48">
        <v>190923</v>
      </c>
      <c r="E80" s="49">
        <v>43731</v>
      </c>
      <c r="F80" s="31"/>
      <c r="G80" s="31"/>
    </row>
    <row r="81" spans="1:7" x14ac:dyDescent="0.35">
      <c r="A81" s="47">
        <v>1</v>
      </c>
      <c r="B81" s="48" t="s">
        <v>2028</v>
      </c>
      <c r="C81" s="48" t="s">
        <v>1968</v>
      </c>
      <c r="D81" s="48">
        <v>190923</v>
      </c>
      <c r="E81" s="49">
        <v>43731</v>
      </c>
      <c r="F81" s="31"/>
      <c r="G81" s="31"/>
    </row>
    <row r="82" spans="1:7" x14ac:dyDescent="0.35">
      <c r="A82" s="47">
        <v>1</v>
      </c>
      <c r="B82" s="48" t="s">
        <v>2029</v>
      </c>
      <c r="C82" s="48" t="s">
        <v>1970</v>
      </c>
      <c r="D82" s="48">
        <v>190923</v>
      </c>
      <c r="E82" s="49">
        <v>43731</v>
      </c>
      <c r="F82" s="31"/>
      <c r="G82" s="31"/>
    </row>
    <row r="83" spans="1:7" x14ac:dyDescent="0.35">
      <c r="A83" s="47">
        <v>1</v>
      </c>
      <c r="B83" s="48" t="s">
        <v>2030</v>
      </c>
      <c r="C83" s="48" t="s">
        <v>1968</v>
      </c>
      <c r="D83" s="48">
        <v>190926</v>
      </c>
      <c r="E83" s="49">
        <v>43734</v>
      </c>
      <c r="F83" s="31"/>
      <c r="G83" s="31"/>
    </row>
    <row r="84" spans="1:7" x14ac:dyDescent="0.35">
      <c r="A84" s="47">
        <v>1</v>
      </c>
      <c r="B84" s="48" t="s">
        <v>2031</v>
      </c>
      <c r="C84" s="48" t="s">
        <v>1970</v>
      </c>
      <c r="D84" s="48">
        <v>190926</v>
      </c>
      <c r="E84" s="49">
        <v>43734</v>
      </c>
      <c r="F84" s="31"/>
      <c r="G84" s="31"/>
    </row>
    <row r="85" spans="1:7" x14ac:dyDescent="0.35">
      <c r="A85" s="47">
        <v>1</v>
      </c>
      <c r="B85" s="48" t="s">
        <v>2032</v>
      </c>
      <c r="C85" s="48" t="s">
        <v>1968</v>
      </c>
      <c r="D85" s="48">
        <v>191007</v>
      </c>
      <c r="E85" s="49">
        <v>43745</v>
      </c>
      <c r="F85" s="31"/>
      <c r="G85" s="31"/>
    </row>
    <row r="86" spans="1:7" x14ac:dyDescent="0.35">
      <c r="A86" s="47">
        <v>1</v>
      </c>
      <c r="B86" s="48" t="s">
        <v>2033</v>
      </c>
      <c r="C86" s="48" t="s">
        <v>1968</v>
      </c>
      <c r="D86" s="48">
        <v>191007</v>
      </c>
      <c r="E86" s="49">
        <v>43745</v>
      </c>
      <c r="F86" s="31"/>
      <c r="G86" s="31"/>
    </row>
    <row r="87" spans="1:7" x14ac:dyDescent="0.35">
      <c r="A87" s="47">
        <v>1</v>
      </c>
      <c r="B87" s="48" t="s">
        <v>2034</v>
      </c>
      <c r="C87" s="48" t="s">
        <v>1968</v>
      </c>
      <c r="D87" s="48">
        <v>191007</v>
      </c>
      <c r="E87" s="49">
        <v>43745</v>
      </c>
      <c r="F87" s="31"/>
      <c r="G87" s="31"/>
    </row>
    <row r="88" spans="1:7" x14ac:dyDescent="0.35">
      <c r="A88" s="47">
        <v>1</v>
      </c>
      <c r="B88" s="48" t="s">
        <v>2035</v>
      </c>
      <c r="C88" s="48" t="s">
        <v>1968</v>
      </c>
      <c r="D88" s="48">
        <v>191007</v>
      </c>
      <c r="E88" s="49">
        <v>43745</v>
      </c>
      <c r="F88" s="31"/>
      <c r="G88" s="31"/>
    </row>
    <row r="89" spans="1:7" x14ac:dyDescent="0.35">
      <c r="A89" s="47">
        <v>1</v>
      </c>
      <c r="B89" s="48" t="s">
        <v>2036</v>
      </c>
      <c r="C89" s="48" t="s">
        <v>1968</v>
      </c>
      <c r="D89" s="48">
        <v>191007</v>
      </c>
      <c r="E89" s="49">
        <v>43745</v>
      </c>
      <c r="F89" s="31"/>
      <c r="G89" s="31"/>
    </row>
    <row r="90" spans="1:7" x14ac:dyDescent="0.35">
      <c r="A90" s="47">
        <v>1</v>
      </c>
      <c r="B90" s="48" t="s">
        <v>2037</v>
      </c>
      <c r="C90" s="48" t="s">
        <v>1968</v>
      </c>
      <c r="D90" s="48">
        <v>191007</v>
      </c>
      <c r="E90" s="49">
        <v>43745</v>
      </c>
      <c r="F90" s="31"/>
      <c r="G90" s="31"/>
    </row>
    <row r="91" spans="1:7" x14ac:dyDescent="0.35">
      <c r="A91" s="47">
        <v>1</v>
      </c>
      <c r="B91" s="48" t="s">
        <v>2038</v>
      </c>
      <c r="C91" s="48" t="s">
        <v>1968</v>
      </c>
      <c r="D91" s="48">
        <v>191007</v>
      </c>
      <c r="E91" s="49">
        <v>43745</v>
      </c>
      <c r="F91" s="31"/>
      <c r="G91" s="31"/>
    </row>
    <row r="92" spans="1:7" x14ac:dyDescent="0.35">
      <c r="A92" s="47">
        <v>1</v>
      </c>
      <c r="B92" s="48" t="s">
        <v>2039</v>
      </c>
      <c r="C92" s="48" t="s">
        <v>1968</v>
      </c>
      <c r="D92" s="48">
        <v>191007</v>
      </c>
      <c r="E92" s="49">
        <v>43745</v>
      </c>
      <c r="F92" s="31"/>
      <c r="G92" s="31"/>
    </row>
    <row r="93" spans="1:7" x14ac:dyDescent="0.35">
      <c r="A93" s="47">
        <v>1</v>
      </c>
      <c r="B93" s="48" t="s">
        <v>2040</v>
      </c>
      <c r="C93" s="48" t="s">
        <v>1968</v>
      </c>
      <c r="D93" s="48">
        <v>191009</v>
      </c>
      <c r="E93" s="49">
        <v>43747</v>
      </c>
      <c r="F93" s="31"/>
      <c r="G93" s="31"/>
    </row>
    <row r="94" spans="1:7" x14ac:dyDescent="0.35">
      <c r="A94" s="47">
        <v>1</v>
      </c>
      <c r="B94" s="48" t="s">
        <v>2041</v>
      </c>
      <c r="C94" s="48" t="s">
        <v>1968</v>
      </c>
      <c r="D94" s="48">
        <v>191009</v>
      </c>
      <c r="E94" s="49">
        <v>43747</v>
      </c>
      <c r="F94" s="31"/>
      <c r="G94" s="31"/>
    </row>
    <row r="95" spans="1:7" x14ac:dyDescent="0.35">
      <c r="A95" s="47">
        <v>1</v>
      </c>
      <c r="B95" s="48" t="s">
        <v>2042</v>
      </c>
      <c r="C95" s="48" t="s">
        <v>1968</v>
      </c>
      <c r="D95" s="48">
        <v>191021</v>
      </c>
      <c r="E95" s="49">
        <v>43759</v>
      </c>
      <c r="F95" s="31"/>
      <c r="G95" s="31"/>
    </row>
    <row r="96" spans="1:7" x14ac:dyDescent="0.35">
      <c r="A96" s="47">
        <v>1</v>
      </c>
      <c r="B96" s="48" t="s">
        <v>2043</v>
      </c>
      <c r="C96" s="48" t="s">
        <v>1968</v>
      </c>
      <c r="D96" s="48">
        <v>191021</v>
      </c>
      <c r="E96" s="49">
        <v>43759</v>
      </c>
      <c r="F96" s="31"/>
      <c r="G96" s="31"/>
    </row>
    <row r="97" spans="1:7" x14ac:dyDescent="0.35">
      <c r="A97" s="47">
        <v>1</v>
      </c>
      <c r="B97" s="48" t="s">
        <v>2044</v>
      </c>
      <c r="C97" s="48" t="s">
        <v>1968</v>
      </c>
      <c r="D97" s="48">
        <v>191021</v>
      </c>
      <c r="E97" s="49">
        <v>43759</v>
      </c>
      <c r="F97" s="31"/>
      <c r="G97" s="31"/>
    </row>
    <row r="98" spans="1:7" x14ac:dyDescent="0.35">
      <c r="A98" s="47">
        <v>1</v>
      </c>
      <c r="B98" s="48" t="s">
        <v>2045</v>
      </c>
      <c r="C98" s="48" t="s">
        <v>1968</v>
      </c>
      <c r="D98" s="48">
        <v>191021</v>
      </c>
      <c r="E98" s="49">
        <v>43759</v>
      </c>
      <c r="F98" s="31"/>
      <c r="G98" s="31"/>
    </row>
    <row r="99" spans="1:7" x14ac:dyDescent="0.35">
      <c r="A99" s="47">
        <v>1</v>
      </c>
      <c r="B99" s="48" t="s">
        <v>2046</v>
      </c>
      <c r="C99" s="48" t="s">
        <v>1968</v>
      </c>
      <c r="D99" s="48">
        <v>191021</v>
      </c>
      <c r="E99" s="49">
        <v>43759</v>
      </c>
      <c r="F99" s="31"/>
      <c r="G99" s="31"/>
    </row>
    <row r="100" spans="1:7" x14ac:dyDescent="0.35">
      <c r="A100" s="47">
        <v>1</v>
      </c>
      <c r="B100" s="48" t="s">
        <v>2047</v>
      </c>
      <c r="C100" s="48" t="s">
        <v>1968</v>
      </c>
      <c r="D100" s="48">
        <v>191021</v>
      </c>
      <c r="E100" s="49">
        <v>43759</v>
      </c>
      <c r="F100" s="31"/>
      <c r="G100" s="31"/>
    </row>
    <row r="101" spans="1:7" x14ac:dyDescent="0.35">
      <c r="A101" s="47">
        <v>1</v>
      </c>
      <c r="B101" s="48" t="s">
        <v>2048</v>
      </c>
      <c r="C101" s="48" t="s">
        <v>1968</v>
      </c>
      <c r="D101" s="48">
        <v>191021</v>
      </c>
      <c r="E101" s="49">
        <v>43759</v>
      </c>
      <c r="F101" s="31"/>
      <c r="G101" s="31"/>
    </row>
    <row r="102" spans="1:7" x14ac:dyDescent="0.35">
      <c r="A102" s="47">
        <v>1</v>
      </c>
      <c r="B102" s="48" t="s">
        <v>2049</v>
      </c>
      <c r="C102" s="48" t="s">
        <v>1968</v>
      </c>
      <c r="D102" s="48">
        <v>191021</v>
      </c>
      <c r="E102" s="49">
        <v>43759</v>
      </c>
      <c r="F102" s="31"/>
      <c r="G102" s="31"/>
    </row>
    <row r="103" spans="1:7" x14ac:dyDescent="0.35">
      <c r="A103" s="47">
        <v>1</v>
      </c>
      <c r="B103" s="48" t="s">
        <v>2050</v>
      </c>
      <c r="C103" s="48" t="s">
        <v>1968</v>
      </c>
      <c r="D103" s="48">
        <v>191021</v>
      </c>
      <c r="E103" s="49">
        <v>43759</v>
      </c>
      <c r="F103" s="31"/>
      <c r="G103" s="31"/>
    </row>
    <row r="104" spans="1:7" x14ac:dyDescent="0.35">
      <c r="A104" s="47">
        <v>1</v>
      </c>
      <c r="B104" s="48" t="s">
        <v>2051</v>
      </c>
      <c r="C104" s="48" t="s">
        <v>1968</v>
      </c>
      <c r="D104" s="48">
        <v>191021</v>
      </c>
      <c r="E104" s="49">
        <v>43759</v>
      </c>
      <c r="F104" s="31"/>
      <c r="G104" s="31"/>
    </row>
    <row r="105" spans="1:7" x14ac:dyDescent="0.35">
      <c r="A105" s="47">
        <v>1</v>
      </c>
      <c r="B105" s="48" t="s">
        <v>2052</v>
      </c>
      <c r="C105" s="48" t="s">
        <v>1968</v>
      </c>
      <c r="D105" s="48">
        <v>191021</v>
      </c>
      <c r="E105" s="49">
        <v>43759</v>
      </c>
      <c r="F105" s="31"/>
      <c r="G105" s="31"/>
    </row>
    <row r="106" spans="1:7" x14ac:dyDescent="0.35">
      <c r="A106" s="47">
        <v>1</v>
      </c>
      <c r="B106" s="48" t="s">
        <v>2053</v>
      </c>
      <c r="C106" s="48" t="s">
        <v>1968</v>
      </c>
      <c r="D106" s="48">
        <v>191021</v>
      </c>
      <c r="E106" s="49">
        <v>43759</v>
      </c>
      <c r="F106" s="31"/>
      <c r="G106" s="31"/>
    </row>
    <row r="107" spans="1:7" x14ac:dyDescent="0.35">
      <c r="A107" s="47">
        <v>1</v>
      </c>
      <c r="B107" s="48" t="s">
        <v>2054</v>
      </c>
      <c r="C107" s="48" t="s">
        <v>1968</v>
      </c>
      <c r="D107" s="48">
        <v>191021</v>
      </c>
      <c r="E107" s="49">
        <v>43759</v>
      </c>
      <c r="F107" s="31"/>
      <c r="G107" s="31"/>
    </row>
    <row r="108" spans="1:7" x14ac:dyDescent="0.35">
      <c r="A108" s="47">
        <v>1</v>
      </c>
      <c r="B108" s="48" t="s">
        <v>2055</v>
      </c>
      <c r="C108" s="48" t="s">
        <v>1968</v>
      </c>
      <c r="D108" s="48">
        <v>191021</v>
      </c>
      <c r="E108" s="49">
        <v>43759</v>
      </c>
      <c r="F108" s="31"/>
      <c r="G108" s="31"/>
    </row>
    <row r="109" spans="1:7" x14ac:dyDescent="0.35">
      <c r="A109" s="47">
        <v>1</v>
      </c>
      <c r="B109" s="48" t="s">
        <v>2056</v>
      </c>
      <c r="C109" s="48" t="s">
        <v>1970</v>
      </c>
      <c r="D109" s="48">
        <v>191021</v>
      </c>
      <c r="E109" s="49">
        <v>43759</v>
      </c>
      <c r="F109" s="31"/>
      <c r="G109" s="31"/>
    </row>
    <row r="110" spans="1:7" x14ac:dyDescent="0.35">
      <c r="A110" s="47">
        <v>1</v>
      </c>
      <c r="B110" s="48" t="s">
        <v>2001</v>
      </c>
      <c r="C110" s="48" t="s">
        <v>1970</v>
      </c>
      <c r="D110" s="48">
        <v>191021</v>
      </c>
      <c r="E110" s="49">
        <v>43759</v>
      </c>
      <c r="F110" s="31"/>
      <c r="G110" s="31"/>
    </row>
    <row r="111" spans="1:7" x14ac:dyDescent="0.35">
      <c r="A111" s="47">
        <v>1</v>
      </c>
      <c r="B111" s="48" t="s">
        <v>2021</v>
      </c>
      <c r="C111" s="48" t="s">
        <v>1970</v>
      </c>
      <c r="D111" s="48">
        <v>191021</v>
      </c>
      <c r="E111" s="49">
        <v>43759</v>
      </c>
      <c r="F111" s="31"/>
      <c r="G111" s="31"/>
    </row>
    <row r="112" spans="1:7" x14ac:dyDescent="0.35">
      <c r="A112" s="47">
        <v>1</v>
      </c>
      <c r="B112" s="48" t="s">
        <v>2041</v>
      </c>
      <c r="C112" s="48" t="s">
        <v>1970</v>
      </c>
      <c r="D112" s="48">
        <v>191021</v>
      </c>
      <c r="E112" s="49">
        <v>43759</v>
      </c>
      <c r="F112" s="31"/>
      <c r="G112" s="31"/>
    </row>
    <row r="113" spans="1:7" x14ac:dyDescent="0.35">
      <c r="A113" s="47">
        <v>1</v>
      </c>
      <c r="B113" s="48" t="s">
        <v>2057</v>
      </c>
      <c r="C113" s="48" t="s">
        <v>1968</v>
      </c>
      <c r="D113" s="48">
        <v>191024</v>
      </c>
      <c r="E113" s="49">
        <v>43762</v>
      </c>
      <c r="F113" s="31"/>
      <c r="G113" s="31"/>
    </row>
    <row r="114" spans="1:7" x14ac:dyDescent="0.35">
      <c r="A114" s="47">
        <v>1</v>
      </c>
      <c r="B114" s="48" t="s">
        <v>2058</v>
      </c>
      <c r="C114" s="48" t="s">
        <v>1968</v>
      </c>
      <c r="D114" s="48">
        <v>191024</v>
      </c>
      <c r="E114" s="49">
        <v>43762</v>
      </c>
      <c r="F114" s="31"/>
      <c r="G114" s="31"/>
    </row>
    <row r="115" spans="1:7" x14ac:dyDescent="0.35">
      <c r="A115" s="47">
        <v>1</v>
      </c>
      <c r="B115" s="48" t="s">
        <v>2059</v>
      </c>
      <c r="C115" s="48" t="s">
        <v>1968</v>
      </c>
      <c r="D115" s="48">
        <v>191024</v>
      </c>
      <c r="E115" s="49">
        <v>43762</v>
      </c>
      <c r="F115" s="31"/>
      <c r="G115" s="31"/>
    </row>
    <row r="116" spans="1:7" x14ac:dyDescent="0.35">
      <c r="A116" s="47">
        <v>1</v>
      </c>
      <c r="B116" s="48" t="s">
        <v>2060</v>
      </c>
      <c r="C116" s="48" t="s">
        <v>1968</v>
      </c>
      <c r="D116" s="48">
        <v>191024</v>
      </c>
      <c r="E116" s="49">
        <v>43762</v>
      </c>
      <c r="F116" s="31"/>
      <c r="G116" s="31"/>
    </row>
    <row r="117" spans="1:7" x14ac:dyDescent="0.35">
      <c r="A117" s="47">
        <v>1</v>
      </c>
      <c r="B117" s="48" t="s">
        <v>2061</v>
      </c>
      <c r="C117" s="48" t="s">
        <v>1968</v>
      </c>
      <c r="D117" s="48">
        <v>191104</v>
      </c>
      <c r="E117" s="49">
        <v>43773</v>
      </c>
      <c r="F117" s="31"/>
      <c r="G117" s="31"/>
    </row>
    <row r="118" spans="1:7" x14ac:dyDescent="0.35">
      <c r="A118" s="47">
        <v>1</v>
      </c>
      <c r="B118" s="48" t="s">
        <v>2062</v>
      </c>
      <c r="C118" s="48" t="s">
        <v>1968</v>
      </c>
      <c r="D118" s="48">
        <v>191104</v>
      </c>
      <c r="E118" s="49">
        <v>43773</v>
      </c>
      <c r="F118" s="31"/>
      <c r="G118" s="31"/>
    </row>
    <row r="119" spans="1:7" x14ac:dyDescent="0.35">
      <c r="A119" s="47">
        <v>1</v>
      </c>
      <c r="B119" s="48" t="s">
        <v>2063</v>
      </c>
      <c r="C119" s="48" t="s">
        <v>1968</v>
      </c>
      <c r="D119" s="48">
        <v>191104</v>
      </c>
      <c r="E119" s="49">
        <v>43773</v>
      </c>
      <c r="F119" s="31"/>
      <c r="G119" s="31"/>
    </row>
    <row r="120" spans="1:7" x14ac:dyDescent="0.35">
      <c r="A120" s="47">
        <v>1</v>
      </c>
      <c r="B120" s="48" t="s">
        <v>2064</v>
      </c>
      <c r="C120" s="48" t="s">
        <v>1968</v>
      </c>
      <c r="D120" s="48">
        <v>191104</v>
      </c>
      <c r="E120" s="49">
        <v>43773</v>
      </c>
      <c r="F120" s="31"/>
      <c r="G120" s="31"/>
    </row>
    <row r="121" spans="1:7" x14ac:dyDescent="0.35">
      <c r="A121" s="47">
        <v>1</v>
      </c>
      <c r="B121" s="48" t="s">
        <v>2065</v>
      </c>
      <c r="C121" s="48" t="s">
        <v>1968</v>
      </c>
      <c r="D121" s="48">
        <v>191104</v>
      </c>
      <c r="E121" s="49">
        <v>43773</v>
      </c>
      <c r="F121" s="31"/>
      <c r="G121" s="31"/>
    </row>
    <row r="122" spans="1:7" x14ac:dyDescent="0.35">
      <c r="A122" s="47">
        <v>1</v>
      </c>
      <c r="B122" s="48" t="s">
        <v>2066</v>
      </c>
      <c r="C122" s="48" t="s">
        <v>1968</v>
      </c>
      <c r="D122" s="48">
        <v>191104</v>
      </c>
      <c r="E122" s="49">
        <v>43773</v>
      </c>
      <c r="F122" s="31"/>
      <c r="G122" s="31"/>
    </row>
    <row r="123" spans="1:7" x14ac:dyDescent="0.35">
      <c r="A123" s="47">
        <v>1</v>
      </c>
      <c r="B123" s="48" t="s">
        <v>2067</v>
      </c>
      <c r="C123" s="48" t="s">
        <v>1968</v>
      </c>
      <c r="D123" s="48">
        <v>191104</v>
      </c>
      <c r="E123" s="49">
        <v>43773</v>
      </c>
      <c r="F123" s="31"/>
      <c r="G123" s="31"/>
    </row>
    <row r="124" spans="1:7" x14ac:dyDescent="0.35">
      <c r="A124" s="47">
        <v>1</v>
      </c>
      <c r="B124" s="48" t="s">
        <v>2068</v>
      </c>
      <c r="C124" s="48" t="s">
        <v>1968</v>
      </c>
      <c r="D124" s="48">
        <v>191104</v>
      </c>
      <c r="E124" s="49">
        <v>43773</v>
      </c>
      <c r="F124" s="31"/>
      <c r="G124" s="31"/>
    </row>
    <row r="125" spans="1:7" x14ac:dyDescent="0.35">
      <c r="A125" s="47">
        <v>1</v>
      </c>
      <c r="B125" s="48" t="s">
        <v>2069</v>
      </c>
      <c r="C125" s="48" t="s">
        <v>1970</v>
      </c>
      <c r="D125" s="48">
        <v>191104</v>
      </c>
      <c r="E125" s="49">
        <v>43773</v>
      </c>
      <c r="F125" s="31"/>
      <c r="G125" s="31"/>
    </row>
    <row r="126" spans="1:7" x14ac:dyDescent="0.35">
      <c r="A126" s="47">
        <v>1</v>
      </c>
      <c r="B126" s="48" t="s">
        <v>2070</v>
      </c>
      <c r="C126" s="48" t="s">
        <v>1970</v>
      </c>
      <c r="D126" s="48">
        <v>191104</v>
      </c>
      <c r="E126" s="49">
        <v>43773</v>
      </c>
      <c r="F126" s="31"/>
      <c r="G126" s="31"/>
    </row>
    <row r="127" spans="1:7" x14ac:dyDescent="0.35">
      <c r="A127" s="47">
        <v>1</v>
      </c>
      <c r="B127" s="48" t="s">
        <v>2071</v>
      </c>
      <c r="C127" s="48" t="s">
        <v>1970</v>
      </c>
      <c r="D127" s="48">
        <v>191104</v>
      </c>
      <c r="E127" s="49">
        <v>43773</v>
      </c>
      <c r="F127" s="31"/>
      <c r="G127" s="31"/>
    </row>
    <row r="128" spans="1:7" x14ac:dyDescent="0.35">
      <c r="A128" s="47">
        <v>1</v>
      </c>
      <c r="B128" s="48" t="s">
        <v>2072</v>
      </c>
      <c r="C128" s="48" t="s">
        <v>1968</v>
      </c>
      <c r="D128" s="48">
        <v>191118</v>
      </c>
      <c r="E128" s="49">
        <v>43787</v>
      </c>
      <c r="F128" s="31"/>
      <c r="G128" s="31"/>
    </row>
    <row r="129" spans="1:7" x14ac:dyDescent="0.35">
      <c r="A129" s="47">
        <v>1</v>
      </c>
      <c r="B129" s="48" t="s">
        <v>2073</v>
      </c>
      <c r="C129" s="48" t="s">
        <v>1968</v>
      </c>
      <c r="D129" s="48">
        <v>191118</v>
      </c>
      <c r="E129" s="49">
        <v>43787</v>
      </c>
      <c r="F129" s="31"/>
      <c r="G129" s="31"/>
    </row>
    <row r="130" spans="1:7" x14ac:dyDescent="0.35">
      <c r="A130" s="47">
        <v>1</v>
      </c>
      <c r="B130" s="48" t="s">
        <v>2074</v>
      </c>
      <c r="C130" s="48" t="s">
        <v>1968</v>
      </c>
      <c r="D130" s="48">
        <v>191118</v>
      </c>
      <c r="E130" s="49">
        <v>43787</v>
      </c>
      <c r="F130" s="31"/>
      <c r="G130" s="31"/>
    </row>
    <row r="131" spans="1:7" x14ac:dyDescent="0.35">
      <c r="A131" s="47">
        <v>1</v>
      </c>
      <c r="B131" s="48" t="s">
        <v>2075</v>
      </c>
      <c r="C131" s="48" t="s">
        <v>1968</v>
      </c>
      <c r="D131" s="48">
        <v>191118</v>
      </c>
      <c r="E131" s="49">
        <v>43787</v>
      </c>
      <c r="F131" s="31"/>
      <c r="G131" s="31"/>
    </row>
    <row r="132" spans="1:7" x14ac:dyDescent="0.35">
      <c r="A132" s="47">
        <v>1</v>
      </c>
      <c r="B132" s="48" t="s">
        <v>2076</v>
      </c>
      <c r="C132" s="48" t="s">
        <v>1968</v>
      </c>
      <c r="D132" s="48">
        <v>191118</v>
      </c>
      <c r="E132" s="49">
        <v>43787</v>
      </c>
      <c r="F132" s="31"/>
      <c r="G132" s="31"/>
    </row>
    <row r="133" spans="1:7" x14ac:dyDescent="0.35">
      <c r="A133" s="47">
        <v>1</v>
      </c>
      <c r="B133" s="48" t="s">
        <v>2077</v>
      </c>
      <c r="C133" s="48" t="s">
        <v>1968</v>
      </c>
      <c r="D133" s="48">
        <v>191118</v>
      </c>
      <c r="E133" s="49">
        <v>43787</v>
      </c>
      <c r="F133" s="31"/>
      <c r="G133" s="31"/>
    </row>
    <row r="134" spans="1:7" x14ac:dyDescent="0.35">
      <c r="A134" s="47">
        <v>1</v>
      </c>
      <c r="B134" s="48" t="s">
        <v>2078</v>
      </c>
      <c r="C134" s="48" t="s">
        <v>1970</v>
      </c>
      <c r="D134" s="48">
        <v>191118</v>
      </c>
      <c r="E134" s="49">
        <v>43787</v>
      </c>
      <c r="F134" s="31"/>
      <c r="G134" s="31"/>
    </row>
    <row r="135" spans="1:7" x14ac:dyDescent="0.35">
      <c r="A135" s="47">
        <v>1</v>
      </c>
      <c r="B135" s="48" t="s">
        <v>2079</v>
      </c>
      <c r="C135" s="48" t="s">
        <v>1970</v>
      </c>
      <c r="D135" s="48">
        <v>191118</v>
      </c>
      <c r="E135" s="49">
        <v>43787</v>
      </c>
      <c r="F135" s="31"/>
      <c r="G135" s="31"/>
    </row>
    <row r="136" spans="1:7" x14ac:dyDescent="0.35">
      <c r="A136" s="47">
        <v>1</v>
      </c>
      <c r="B136" s="48" t="s">
        <v>2080</v>
      </c>
      <c r="C136" s="48" t="s">
        <v>1970</v>
      </c>
      <c r="D136" s="48">
        <v>191118</v>
      </c>
      <c r="E136" s="49">
        <v>43787</v>
      </c>
      <c r="F136" s="31"/>
      <c r="G136" s="31"/>
    </row>
    <row r="137" spans="1:7" x14ac:dyDescent="0.35">
      <c r="A137" s="47">
        <v>1</v>
      </c>
      <c r="B137" s="48" t="s">
        <v>2081</v>
      </c>
      <c r="C137" s="48" t="s">
        <v>1970</v>
      </c>
      <c r="D137" s="48">
        <v>191118</v>
      </c>
      <c r="E137" s="49">
        <v>43787</v>
      </c>
      <c r="F137" s="31"/>
      <c r="G137" s="31"/>
    </row>
    <row r="138" spans="1:7" x14ac:dyDescent="0.35">
      <c r="A138" s="47">
        <v>1</v>
      </c>
      <c r="B138" s="48" t="s">
        <v>2082</v>
      </c>
      <c r="C138" s="48" t="s">
        <v>1970</v>
      </c>
      <c r="D138" s="48">
        <v>191118</v>
      </c>
      <c r="E138" s="49">
        <v>43787</v>
      </c>
      <c r="F138" s="31"/>
      <c r="G138" s="31"/>
    </row>
    <row r="139" spans="1:7" x14ac:dyDescent="0.35">
      <c r="A139" s="47">
        <v>1</v>
      </c>
      <c r="B139" s="48" t="s">
        <v>2083</v>
      </c>
      <c r="C139" s="48" t="s">
        <v>1968</v>
      </c>
      <c r="D139" s="48">
        <v>191202</v>
      </c>
      <c r="E139" s="49">
        <v>43801</v>
      </c>
      <c r="F139" s="31"/>
      <c r="G139" s="31"/>
    </row>
    <row r="140" spans="1:7" x14ac:dyDescent="0.35">
      <c r="A140" s="47">
        <v>1</v>
      </c>
      <c r="B140" s="48" t="s">
        <v>2084</v>
      </c>
      <c r="C140" s="48" t="s">
        <v>1968</v>
      </c>
      <c r="D140" s="48">
        <v>191202</v>
      </c>
      <c r="E140" s="49">
        <v>43801</v>
      </c>
      <c r="F140" s="31"/>
      <c r="G140" s="31"/>
    </row>
    <row r="141" spans="1:7" x14ac:dyDescent="0.35">
      <c r="A141" s="47">
        <v>1</v>
      </c>
      <c r="B141" s="48" t="s">
        <v>2085</v>
      </c>
      <c r="C141" s="48" t="s">
        <v>1968</v>
      </c>
      <c r="D141" s="48">
        <v>191202</v>
      </c>
      <c r="E141" s="49">
        <v>43801</v>
      </c>
      <c r="F141" s="31"/>
      <c r="G141" s="31"/>
    </row>
    <row r="142" spans="1:7" x14ac:dyDescent="0.35">
      <c r="A142" s="47">
        <v>1</v>
      </c>
      <c r="B142" s="48" t="s">
        <v>2086</v>
      </c>
      <c r="C142" s="48" t="s">
        <v>1968</v>
      </c>
      <c r="D142" s="48">
        <v>191202</v>
      </c>
      <c r="E142" s="49">
        <v>43801</v>
      </c>
      <c r="F142" s="31"/>
      <c r="G142" s="31"/>
    </row>
    <row r="143" spans="1:7" x14ac:dyDescent="0.35">
      <c r="A143" s="47">
        <v>1</v>
      </c>
      <c r="B143" s="48" t="s">
        <v>2087</v>
      </c>
      <c r="C143" s="48" t="s">
        <v>1968</v>
      </c>
      <c r="D143" s="48">
        <v>191202</v>
      </c>
      <c r="E143" s="49">
        <v>43801</v>
      </c>
      <c r="F143" s="31"/>
      <c r="G143" s="31"/>
    </row>
    <row r="144" spans="1:7" x14ac:dyDescent="0.35">
      <c r="A144" s="47">
        <v>1</v>
      </c>
      <c r="B144" s="48" t="s">
        <v>2088</v>
      </c>
      <c r="C144" s="48" t="s">
        <v>1968</v>
      </c>
      <c r="D144" s="48">
        <v>191202</v>
      </c>
      <c r="E144" s="49">
        <v>43801</v>
      </c>
      <c r="F144" s="31"/>
      <c r="G144" s="31"/>
    </row>
    <row r="145" spans="1:7" x14ac:dyDescent="0.35">
      <c r="A145" s="47">
        <v>1</v>
      </c>
      <c r="B145" s="48" t="s">
        <v>2089</v>
      </c>
      <c r="C145" s="48" t="s">
        <v>1968</v>
      </c>
      <c r="D145" s="48">
        <v>191202</v>
      </c>
      <c r="E145" s="49">
        <v>43801</v>
      </c>
      <c r="F145" s="31"/>
      <c r="G145" s="31"/>
    </row>
    <row r="146" spans="1:7" x14ac:dyDescent="0.35">
      <c r="A146" s="47">
        <v>1</v>
      </c>
      <c r="B146" s="48" t="s">
        <v>2090</v>
      </c>
      <c r="C146" s="48" t="s">
        <v>1968</v>
      </c>
      <c r="D146" s="48">
        <v>191202</v>
      </c>
      <c r="E146" s="49">
        <v>43801</v>
      </c>
      <c r="F146" s="31"/>
      <c r="G146" s="31"/>
    </row>
    <row r="147" spans="1:7" x14ac:dyDescent="0.35">
      <c r="A147" s="47">
        <v>1</v>
      </c>
      <c r="B147" s="48" t="s">
        <v>2091</v>
      </c>
      <c r="C147" s="48" t="s">
        <v>1968</v>
      </c>
      <c r="D147" s="48">
        <v>191202</v>
      </c>
      <c r="E147" s="49">
        <v>43801</v>
      </c>
      <c r="F147" s="31"/>
      <c r="G147" s="31"/>
    </row>
    <row r="148" spans="1:7" x14ac:dyDescent="0.35">
      <c r="A148" s="47">
        <v>1</v>
      </c>
      <c r="B148" s="48" t="s">
        <v>2092</v>
      </c>
      <c r="C148" s="48" t="s">
        <v>1968</v>
      </c>
      <c r="D148" s="48">
        <v>191202</v>
      </c>
      <c r="E148" s="49">
        <v>43801</v>
      </c>
      <c r="F148" s="31"/>
      <c r="G148" s="31"/>
    </row>
    <row r="149" spans="1:7" x14ac:dyDescent="0.35">
      <c r="A149" s="47">
        <v>1</v>
      </c>
      <c r="B149" s="48" t="s">
        <v>2093</v>
      </c>
      <c r="C149" s="48" t="s">
        <v>1970</v>
      </c>
      <c r="D149" s="48">
        <v>191202</v>
      </c>
      <c r="E149" s="49">
        <v>43801</v>
      </c>
      <c r="F149" s="31"/>
      <c r="G149" s="31"/>
    </row>
    <row r="150" spans="1:7" x14ac:dyDescent="0.35">
      <c r="A150" s="47">
        <v>1</v>
      </c>
      <c r="B150" s="48" t="s">
        <v>2036</v>
      </c>
      <c r="C150" s="48" t="s">
        <v>1970</v>
      </c>
      <c r="D150" s="48">
        <v>191202</v>
      </c>
      <c r="E150" s="49">
        <v>43801</v>
      </c>
      <c r="F150" s="31"/>
      <c r="G150" s="31"/>
    </row>
    <row r="151" spans="1:7" x14ac:dyDescent="0.35">
      <c r="A151" s="47">
        <v>1</v>
      </c>
      <c r="B151" s="48" t="s">
        <v>2094</v>
      </c>
      <c r="C151" s="48" t="s">
        <v>1968</v>
      </c>
      <c r="D151" s="48">
        <v>191204</v>
      </c>
      <c r="E151" s="49">
        <v>43803</v>
      </c>
      <c r="F151" s="31"/>
      <c r="G151" s="31"/>
    </row>
    <row r="152" spans="1:7" x14ac:dyDescent="0.35">
      <c r="A152" s="47">
        <v>1</v>
      </c>
      <c r="B152" s="48" t="s">
        <v>2095</v>
      </c>
      <c r="C152" s="48" t="s">
        <v>1968</v>
      </c>
      <c r="D152" s="48">
        <v>191204</v>
      </c>
      <c r="E152" s="49">
        <v>43803</v>
      </c>
      <c r="F152" s="31"/>
      <c r="G152" s="31"/>
    </row>
    <row r="153" spans="1:7" x14ac:dyDescent="0.35">
      <c r="A153" s="47">
        <v>1</v>
      </c>
      <c r="B153" s="48" t="s">
        <v>2096</v>
      </c>
      <c r="C153" s="48" t="s">
        <v>1968</v>
      </c>
      <c r="D153" s="48">
        <v>191216</v>
      </c>
      <c r="E153" s="49">
        <v>43815</v>
      </c>
      <c r="F153" s="31"/>
      <c r="G153" s="31"/>
    </row>
    <row r="154" spans="1:7" x14ac:dyDescent="0.35">
      <c r="A154" s="47">
        <v>1</v>
      </c>
      <c r="B154" s="48" t="s">
        <v>2097</v>
      </c>
      <c r="C154" s="48" t="s">
        <v>1968</v>
      </c>
      <c r="D154" s="48">
        <v>191216</v>
      </c>
      <c r="E154" s="49">
        <v>43815</v>
      </c>
      <c r="F154" s="31"/>
      <c r="G154" s="31"/>
    </row>
    <row r="155" spans="1:7" x14ac:dyDescent="0.35">
      <c r="A155" s="47">
        <v>1</v>
      </c>
      <c r="B155" s="48" t="s">
        <v>2098</v>
      </c>
      <c r="C155" s="48" t="s">
        <v>1968</v>
      </c>
      <c r="D155" s="48">
        <v>191216</v>
      </c>
      <c r="E155" s="49">
        <v>43815</v>
      </c>
      <c r="F155" s="31"/>
      <c r="G155" s="31"/>
    </row>
    <row r="156" spans="1:7" x14ac:dyDescent="0.35">
      <c r="A156" s="47">
        <v>1</v>
      </c>
      <c r="B156" s="48" t="s">
        <v>2099</v>
      </c>
      <c r="C156" s="48" t="s">
        <v>1968</v>
      </c>
      <c r="D156" s="48">
        <v>191230</v>
      </c>
      <c r="E156" s="49">
        <v>43829</v>
      </c>
      <c r="F156" s="31"/>
      <c r="G156" s="31"/>
    </row>
    <row r="157" spans="1:7" x14ac:dyDescent="0.35">
      <c r="A157" s="47">
        <v>1</v>
      </c>
      <c r="B157" s="48" t="s">
        <v>2100</v>
      </c>
      <c r="C157" s="48" t="s">
        <v>1968</v>
      </c>
      <c r="D157" s="48">
        <v>191230</v>
      </c>
      <c r="E157" s="49">
        <v>43829</v>
      </c>
      <c r="F157" s="31"/>
      <c r="G157" s="31"/>
    </row>
    <row r="158" spans="1:7" x14ac:dyDescent="0.35">
      <c r="A158" s="47">
        <v>1</v>
      </c>
      <c r="B158" s="48" t="s">
        <v>2101</v>
      </c>
      <c r="C158" s="48" t="s">
        <v>1968</v>
      </c>
      <c r="D158" s="48">
        <v>191230</v>
      </c>
      <c r="E158" s="49">
        <v>43829</v>
      </c>
      <c r="F158" s="31"/>
      <c r="G158" s="31"/>
    </row>
    <row r="159" spans="1:7" x14ac:dyDescent="0.35">
      <c r="A159" s="47">
        <v>1</v>
      </c>
      <c r="B159" s="48" t="s">
        <v>2102</v>
      </c>
      <c r="C159" s="48" t="s">
        <v>1968</v>
      </c>
      <c r="D159" s="48">
        <v>191230</v>
      </c>
      <c r="E159" s="49">
        <v>43829</v>
      </c>
      <c r="F159" s="31"/>
      <c r="G159" s="31"/>
    </row>
    <row r="160" spans="1:7" x14ac:dyDescent="0.35">
      <c r="A160" s="47">
        <v>1</v>
      </c>
      <c r="B160" s="48" t="s">
        <v>2103</v>
      </c>
      <c r="C160" s="48" t="s">
        <v>1970</v>
      </c>
      <c r="D160" s="48">
        <v>191230</v>
      </c>
      <c r="E160" s="49">
        <v>43829</v>
      </c>
      <c r="F160" s="31"/>
      <c r="G160" s="31"/>
    </row>
    <row r="161" spans="1:7" x14ac:dyDescent="0.35">
      <c r="A161" s="47">
        <v>1</v>
      </c>
      <c r="B161" s="48" t="s">
        <v>2104</v>
      </c>
      <c r="C161" s="48" t="s">
        <v>1970</v>
      </c>
      <c r="D161" s="48">
        <v>191230</v>
      </c>
      <c r="E161" s="49">
        <v>43829</v>
      </c>
      <c r="F161" s="31"/>
      <c r="G161" s="31"/>
    </row>
    <row r="162" spans="1:7" x14ac:dyDescent="0.35">
      <c r="A162" s="47">
        <v>1</v>
      </c>
      <c r="B162" s="48" t="s">
        <v>2079</v>
      </c>
      <c r="C162" s="48" t="s">
        <v>1974</v>
      </c>
      <c r="D162" s="48">
        <v>191230</v>
      </c>
      <c r="E162" s="49">
        <v>43829</v>
      </c>
      <c r="F162" s="31"/>
      <c r="G162" s="31"/>
    </row>
    <row r="163" spans="1:7" x14ac:dyDescent="0.35">
      <c r="A163" s="47">
        <v>1</v>
      </c>
      <c r="B163" s="48" t="s">
        <v>2105</v>
      </c>
      <c r="C163" s="48" t="s">
        <v>1968</v>
      </c>
      <c r="D163" s="48">
        <v>200113</v>
      </c>
      <c r="E163" s="49">
        <v>43843</v>
      </c>
      <c r="F163" s="31"/>
      <c r="G163" s="31"/>
    </row>
    <row r="164" spans="1:7" x14ac:dyDescent="0.35">
      <c r="A164" s="47">
        <v>1</v>
      </c>
      <c r="B164" s="48" t="s">
        <v>2106</v>
      </c>
      <c r="C164" s="48" t="s">
        <v>1968</v>
      </c>
      <c r="D164" s="48">
        <v>200113</v>
      </c>
      <c r="E164" s="49">
        <v>43843</v>
      </c>
      <c r="F164" s="31"/>
      <c r="G164" s="31"/>
    </row>
    <row r="165" spans="1:7" x14ac:dyDescent="0.35">
      <c r="A165" s="47">
        <v>1</v>
      </c>
      <c r="B165" s="48" t="s">
        <v>2107</v>
      </c>
      <c r="C165" s="48" t="s">
        <v>1968</v>
      </c>
      <c r="D165" s="48">
        <v>200113</v>
      </c>
      <c r="E165" s="49">
        <v>43843</v>
      </c>
      <c r="F165" s="31"/>
      <c r="G165" s="31"/>
    </row>
    <row r="166" spans="1:7" x14ac:dyDescent="0.35">
      <c r="A166" s="47">
        <v>1</v>
      </c>
      <c r="B166" s="48" t="s">
        <v>2108</v>
      </c>
      <c r="C166" s="48" t="s">
        <v>1968</v>
      </c>
      <c r="D166" s="48">
        <v>200113</v>
      </c>
      <c r="E166" s="49">
        <v>43843</v>
      </c>
      <c r="F166" s="31"/>
      <c r="G166" s="31"/>
    </row>
    <row r="167" spans="1:7" x14ac:dyDescent="0.35">
      <c r="A167" s="47">
        <v>1</v>
      </c>
      <c r="B167" s="48" t="s">
        <v>2109</v>
      </c>
      <c r="C167" s="48" t="s">
        <v>1968</v>
      </c>
      <c r="D167" s="48">
        <v>200113</v>
      </c>
      <c r="E167" s="49">
        <v>43843</v>
      </c>
      <c r="F167" s="31"/>
      <c r="G167" s="31"/>
    </row>
    <row r="168" spans="1:7" x14ac:dyDescent="0.35">
      <c r="A168" s="47">
        <v>1</v>
      </c>
      <c r="B168" s="48" t="s">
        <v>2048</v>
      </c>
      <c r="C168" s="48" t="s">
        <v>1975</v>
      </c>
      <c r="D168" s="48">
        <v>200113</v>
      </c>
      <c r="E168" s="49">
        <v>43843</v>
      </c>
      <c r="F168" s="31"/>
      <c r="G168" s="31"/>
    </row>
    <row r="169" spans="1:7" x14ac:dyDescent="0.35">
      <c r="A169" s="47">
        <v>1</v>
      </c>
      <c r="B169" s="48" t="s">
        <v>2110</v>
      </c>
      <c r="C169" s="48" t="s">
        <v>1968</v>
      </c>
      <c r="D169" s="48">
        <v>200116</v>
      </c>
      <c r="E169" s="49">
        <v>43846</v>
      </c>
      <c r="F169" s="31"/>
      <c r="G169" s="31"/>
    </row>
    <row r="170" spans="1:7" x14ac:dyDescent="0.35">
      <c r="A170" s="47">
        <v>1</v>
      </c>
      <c r="B170" s="48" t="s">
        <v>2111</v>
      </c>
      <c r="C170" s="48" t="s">
        <v>1968</v>
      </c>
      <c r="D170" s="48">
        <v>200116</v>
      </c>
      <c r="E170" s="49">
        <v>43846</v>
      </c>
      <c r="F170" s="31"/>
      <c r="G170" s="31"/>
    </row>
    <row r="171" spans="1:7" x14ac:dyDescent="0.35">
      <c r="A171" s="47">
        <v>1</v>
      </c>
      <c r="B171" s="48" t="s">
        <v>2112</v>
      </c>
      <c r="C171" s="48" t="s">
        <v>1968</v>
      </c>
      <c r="D171" s="48">
        <v>200116</v>
      </c>
      <c r="E171" s="49">
        <v>43846</v>
      </c>
      <c r="F171" s="31"/>
      <c r="G171" s="31"/>
    </row>
    <row r="172" spans="1:7" x14ac:dyDescent="0.35">
      <c r="A172" s="47">
        <v>1</v>
      </c>
      <c r="B172" s="48" t="s">
        <v>2113</v>
      </c>
      <c r="C172" s="48" t="s">
        <v>1968</v>
      </c>
      <c r="D172" s="48">
        <v>200116</v>
      </c>
      <c r="E172" s="49">
        <v>43846</v>
      </c>
      <c r="F172" s="31"/>
      <c r="G172" s="31"/>
    </row>
    <row r="173" spans="1:7" x14ac:dyDescent="0.35">
      <c r="A173" s="47">
        <v>1</v>
      </c>
      <c r="B173" s="48" t="s">
        <v>2048</v>
      </c>
      <c r="C173" s="48" t="s">
        <v>1975</v>
      </c>
      <c r="D173" s="48">
        <v>200116</v>
      </c>
      <c r="E173" s="49">
        <v>43846</v>
      </c>
      <c r="F173" s="31"/>
      <c r="G173" s="31"/>
    </row>
    <row r="174" spans="1:7" x14ac:dyDescent="0.35">
      <c r="A174" s="47">
        <v>1</v>
      </c>
      <c r="B174" s="48" t="s">
        <v>2072</v>
      </c>
      <c r="C174" s="48" t="s">
        <v>1975</v>
      </c>
      <c r="D174" s="48">
        <v>200116</v>
      </c>
      <c r="E174" s="49">
        <v>43846</v>
      </c>
      <c r="F174" s="31"/>
      <c r="G174" s="31"/>
    </row>
    <row r="175" spans="1:7" x14ac:dyDescent="0.35">
      <c r="A175" s="47">
        <v>1</v>
      </c>
      <c r="B175" s="48" t="s">
        <v>2114</v>
      </c>
      <c r="C175" s="48" t="s">
        <v>1968</v>
      </c>
      <c r="D175" s="48">
        <v>200127</v>
      </c>
      <c r="E175" s="49">
        <v>43857</v>
      </c>
      <c r="F175" s="31"/>
      <c r="G175" s="31"/>
    </row>
    <row r="176" spans="1:7" x14ac:dyDescent="0.35">
      <c r="A176" s="47">
        <v>1</v>
      </c>
      <c r="B176" s="48" t="s">
        <v>2115</v>
      </c>
      <c r="C176" s="48" t="s">
        <v>1968</v>
      </c>
      <c r="D176" s="48">
        <v>200127</v>
      </c>
      <c r="E176" s="49">
        <v>43857</v>
      </c>
      <c r="F176" s="31"/>
      <c r="G176" s="31"/>
    </row>
    <row r="177" spans="1:7" x14ac:dyDescent="0.35">
      <c r="A177" s="47">
        <v>1</v>
      </c>
      <c r="B177" s="48" t="s">
        <v>2116</v>
      </c>
      <c r="C177" s="48" t="s">
        <v>1968</v>
      </c>
      <c r="D177" s="48">
        <v>200127</v>
      </c>
      <c r="E177" s="49">
        <v>43857</v>
      </c>
      <c r="F177" s="31"/>
      <c r="G177" s="31"/>
    </row>
    <row r="178" spans="1:7" x14ac:dyDescent="0.35">
      <c r="A178" s="47">
        <v>1</v>
      </c>
      <c r="B178" s="48" t="s">
        <v>2117</v>
      </c>
      <c r="C178" s="48" t="s">
        <v>1968</v>
      </c>
      <c r="D178" s="48">
        <v>200127</v>
      </c>
      <c r="E178" s="49">
        <v>43857</v>
      </c>
      <c r="F178" s="31"/>
      <c r="G178" s="31"/>
    </row>
    <row r="179" spans="1:7" x14ac:dyDescent="0.35">
      <c r="A179" s="47">
        <v>1</v>
      </c>
      <c r="B179" s="48" t="s">
        <v>2118</v>
      </c>
      <c r="C179" s="48" t="s">
        <v>1968</v>
      </c>
      <c r="D179" s="48">
        <v>200127</v>
      </c>
      <c r="E179" s="49">
        <v>43857</v>
      </c>
      <c r="F179" s="31"/>
      <c r="G179" s="31"/>
    </row>
    <row r="180" spans="1:7" x14ac:dyDescent="0.35">
      <c r="A180" s="47">
        <v>1</v>
      </c>
      <c r="B180" s="48" t="s">
        <v>2055</v>
      </c>
      <c r="C180" s="48" t="s">
        <v>1970</v>
      </c>
      <c r="D180" s="48">
        <v>200127</v>
      </c>
      <c r="E180" s="49">
        <v>43857</v>
      </c>
      <c r="F180" s="31"/>
      <c r="G180" s="31"/>
    </row>
    <row r="181" spans="1:7" x14ac:dyDescent="0.35">
      <c r="A181" s="47">
        <v>1</v>
      </c>
      <c r="B181" s="48" t="s">
        <v>2119</v>
      </c>
      <c r="C181" s="48" t="s">
        <v>1968</v>
      </c>
      <c r="D181" s="48">
        <v>200130</v>
      </c>
      <c r="E181" s="49">
        <v>43860</v>
      </c>
      <c r="F181" s="31"/>
      <c r="G181" s="31"/>
    </row>
    <row r="182" spans="1:7" x14ac:dyDescent="0.35">
      <c r="A182" s="47">
        <v>1</v>
      </c>
      <c r="B182" s="48" t="s">
        <v>2120</v>
      </c>
      <c r="C182" s="48" t="s">
        <v>1968</v>
      </c>
      <c r="D182" s="48">
        <v>200130</v>
      </c>
      <c r="E182" s="49">
        <v>43860</v>
      </c>
      <c r="F182" s="31"/>
      <c r="G182" s="31"/>
    </row>
    <row r="183" spans="1:7" x14ac:dyDescent="0.35">
      <c r="A183" s="47">
        <v>1</v>
      </c>
      <c r="B183" s="48" t="s">
        <v>2121</v>
      </c>
      <c r="C183" s="48" t="s">
        <v>1968</v>
      </c>
      <c r="D183" s="48">
        <v>200130</v>
      </c>
      <c r="E183" s="49">
        <v>43860</v>
      </c>
      <c r="F183" s="31"/>
      <c r="G183" s="31"/>
    </row>
    <row r="184" spans="1:7" x14ac:dyDescent="0.35">
      <c r="A184" s="47">
        <v>1</v>
      </c>
      <c r="B184" s="48" t="s">
        <v>2122</v>
      </c>
      <c r="C184" s="48" t="s">
        <v>1968</v>
      </c>
      <c r="D184" s="48">
        <v>200130</v>
      </c>
      <c r="E184" s="49">
        <v>43860</v>
      </c>
      <c r="F184" s="31"/>
      <c r="G184" s="31"/>
    </row>
    <row r="185" spans="1:7" x14ac:dyDescent="0.35">
      <c r="A185" s="47">
        <v>1</v>
      </c>
      <c r="B185" s="48" t="s">
        <v>2123</v>
      </c>
      <c r="C185" s="48" t="s">
        <v>1968</v>
      </c>
      <c r="D185" s="48">
        <v>200130</v>
      </c>
      <c r="E185" s="49">
        <v>43860</v>
      </c>
      <c r="F185" s="31"/>
      <c r="G185" s="31"/>
    </row>
    <row r="186" spans="1:7" x14ac:dyDescent="0.35">
      <c r="A186" s="47">
        <v>1</v>
      </c>
      <c r="B186" s="48" t="s">
        <v>2124</v>
      </c>
      <c r="C186" s="48" t="s">
        <v>1968</v>
      </c>
      <c r="D186" s="48">
        <v>200130</v>
      </c>
      <c r="E186" s="49">
        <v>43860</v>
      </c>
      <c r="F186" s="31"/>
      <c r="G186" s="31"/>
    </row>
    <row r="187" spans="1:7" x14ac:dyDescent="0.35">
      <c r="A187" s="47">
        <v>1</v>
      </c>
      <c r="B187" s="48" t="s">
        <v>2125</v>
      </c>
      <c r="C187" s="48" t="s">
        <v>1968</v>
      </c>
      <c r="D187" s="48">
        <v>200130</v>
      </c>
      <c r="E187" s="49">
        <v>43860</v>
      </c>
      <c r="F187" s="31"/>
      <c r="G187" s="31"/>
    </row>
    <row r="188" spans="1:7" x14ac:dyDescent="0.35">
      <c r="A188" s="47">
        <v>1</v>
      </c>
      <c r="B188" s="48" t="s">
        <v>2126</v>
      </c>
      <c r="C188" s="48" t="s">
        <v>1968</v>
      </c>
      <c r="D188" s="48">
        <v>200130</v>
      </c>
      <c r="E188" s="49">
        <v>43860</v>
      </c>
      <c r="F188" s="31"/>
      <c r="G188" s="31"/>
    </row>
    <row r="189" spans="1:7" x14ac:dyDescent="0.35">
      <c r="A189" s="47">
        <v>1</v>
      </c>
      <c r="B189" s="48" t="s">
        <v>2127</v>
      </c>
      <c r="C189" s="48" t="s">
        <v>1968</v>
      </c>
      <c r="D189" s="48">
        <v>200130</v>
      </c>
      <c r="E189" s="49">
        <v>43860</v>
      </c>
      <c r="F189" s="31"/>
      <c r="G189" s="31"/>
    </row>
    <row r="190" spans="1:7" x14ac:dyDescent="0.35">
      <c r="A190" s="47">
        <v>1</v>
      </c>
      <c r="B190" s="48" t="s">
        <v>2128</v>
      </c>
      <c r="C190" s="48" t="s">
        <v>1970</v>
      </c>
      <c r="D190" s="48">
        <v>200130</v>
      </c>
      <c r="E190" s="49">
        <v>43860</v>
      </c>
      <c r="F190" s="31"/>
      <c r="G190" s="31"/>
    </row>
    <row r="191" spans="1:7" x14ac:dyDescent="0.35">
      <c r="A191" s="47">
        <v>1</v>
      </c>
      <c r="B191" s="48" t="s">
        <v>2129</v>
      </c>
      <c r="C191" s="48" t="s">
        <v>1970</v>
      </c>
      <c r="D191" s="48">
        <v>200130</v>
      </c>
      <c r="E191" s="49">
        <v>43860</v>
      </c>
      <c r="F191" s="31"/>
      <c r="G191" s="31"/>
    </row>
    <row r="192" spans="1:7" x14ac:dyDescent="0.35">
      <c r="A192" s="47">
        <v>1</v>
      </c>
      <c r="B192" s="48" t="s">
        <v>2130</v>
      </c>
      <c r="C192" s="48" t="s">
        <v>1970</v>
      </c>
      <c r="D192" s="48">
        <v>200130</v>
      </c>
      <c r="E192" s="49">
        <v>43860</v>
      </c>
      <c r="F192" s="31"/>
      <c r="G192" s="31"/>
    </row>
    <row r="193" spans="1:7" x14ac:dyDescent="0.35">
      <c r="A193" s="47">
        <v>1</v>
      </c>
      <c r="B193" s="48" t="s">
        <v>2131</v>
      </c>
      <c r="C193" s="48" t="s">
        <v>1970</v>
      </c>
      <c r="D193" s="48">
        <v>200130</v>
      </c>
      <c r="E193" s="49">
        <v>43860</v>
      </c>
      <c r="F193" s="31"/>
      <c r="G193" s="31"/>
    </row>
    <row r="194" spans="1:7" x14ac:dyDescent="0.35">
      <c r="A194" s="47">
        <v>1</v>
      </c>
      <c r="B194" s="48" t="s">
        <v>2132</v>
      </c>
      <c r="C194" s="48" t="s">
        <v>1970</v>
      </c>
      <c r="D194" s="48">
        <v>200130</v>
      </c>
      <c r="E194" s="49">
        <v>43860</v>
      </c>
      <c r="F194" s="31"/>
      <c r="G194" s="31"/>
    </row>
    <row r="195" spans="1:7" x14ac:dyDescent="0.35">
      <c r="A195" s="47">
        <v>1</v>
      </c>
      <c r="B195" s="48" t="s">
        <v>2133</v>
      </c>
      <c r="C195" s="48" t="s">
        <v>1970</v>
      </c>
      <c r="D195" s="48">
        <v>200130</v>
      </c>
      <c r="E195" s="49">
        <v>43860</v>
      </c>
      <c r="F195" s="31"/>
      <c r="G195" s="31"/>
    </row>
    <row r="196" spans="1:7" x14ac:dyDescent="0.35">
      <c r="A196" s="47">
        <v>1</v>
      </c>
      <c r="B196" s="48" t="s">
        <v>2134</v>
      </c>
      <c r="C196" s="48" t="s">
        <v>1970</v>
      </c>
      <c r="D196" s="48">
        <v>200130</v>
      </c>
      <c r="E196" s="49">
        <v>43860</v>
      </c>
      <c r="F196" s="31"/>
      <c r="G196" s="31"/>
    </row>
    <row r="197" spans="1:7" x14ac:dyDescent="0.35">
      <c r="A197" s="47">
        <v>1</v>
      </c>
      <c r="B197" s="48" t="s">
        <v>2135</v>
      </c>
      <c r="C197" s="48" t="s">
        <v>1970</v>
      </c>
      <c r="D197" s="48">
        <v>200130</v>
      </c>
      <c r="E197" s="49">
        <v>43860</v>
      </c>
      <c r="F197" s="31"/>
      <c r="G197" s="31"/>
    </row>
    <row r="198" spans="1:7" x14ac:dyDescent="0.35">
      <c r="A198" s="47">
        <v>1</v>
      </c>
      <c r="B198" s="48" t="s">
        <v>2136</v>
      </c>
      <c r="C198" s="48" t="s">
        <v>1970</v>
      </c>
      <c r="D198" s="48">
        <v>200130</v>
      </c>
      <c r="E198" s="49">
        <v>43860</v>
      </c>
      <c r="F198" s="31"/>
      <c r="G198" s="31"/>
    </row>
    <row r="199" spans="1:7" x14ac:dyDescent="0.35">
      <c r="A199" s="47">
        <v>1</v>
      </c>
      <c r="B199" s="48" t="s">
        <v>2137</v>
      </c>
      <c r="C199" s="48" t="s">
        <v>1970</v>
      </c>
      <c r="D199" s="48">
        <v>200130</v>
      </c>
      <c r="E199" s="49">
        <v>43860</v>
      </c>
      <c r="F199" s="31"/>
      <c r="G199" s="31"/>
    </row>
    <row r="200" spans="1:7" x14ac:dyDescent="0.35">
      <c r="A200" s="47">
        <v>1</v>
      </c>
      <c r="B200" s="48" t="s">
        <v>2138</v>
      </c>
      <c r="C200" s="48" t="s">
        <v>1970</v>
      </c>
      <c r="D200" s="48">
        <v>200130</v>
      </c>
      <c r="E200" s="49">
        <v>43860</v>
      </c>
      <c r="F200" s="31"/>
      <c r="G200" s="31"/>
    </row>
    <row r="201" spans="1:7" x14ac:dyDescent="0.35">
      <c r="A201" s="47">
        <v>1</v>
      </c>
      <c r="B201" s="48" t="s">
        <v>2139</v>
      </c>
      <c r="C201" s="48" t="s">
        <v>1970</v>
      </c>
      <c r="D201" s="48">
        <v>200130</v>
      </c>
      <c r="E201" s="49">
        <v>43860</v>
      </c>
      <c r="F201" s="31"/>
      <c r="G201" s="31"/>
    </row>
    <row r="202" spans="1:7" x14ac:dyDescent="0.35">
      <c r="A202" s="47">
        <v>1</v>
      </c>
      <c r="B202" s="48" t="s">
        <v>2140</v>
      </c>
      <c r="C202" s="48" t="s">
        <v>1970</v>
      </c>
      <c r="D202" s="48">
        <v>200130</v>
      </c>
      <c r="E202" s="49">
        <v>43860</v>
      </c>
      <c r="F202" s="31"/>
      <c r="G202" s="31"/>
    </row>
    <row r="203" spans="1:7" x14ac:dyDescent="0.35">
      <c r="A203" s="47">
        <v>1</v>
      </c>
      <c r="B203" s="48" t="s">
        <v>2141</v>
      </c>
      <c r="C203" s="48" t="s">
        <v>1970</v>
      </c>
      <c r="D203" s="48">
        <v>200130</v>
      </c>
      <c r="E203" s="49">
        <v>43860</v>
      </c>
      <c r="F203" s="31"/>
      <c r="G203" s="31"/>
    </row>
    <row r="204" spans="1:7" x14ac:dyDescent="0.35">
      <c r="A204" s="47">
        <v>1</v>
      </c>
      <c r="B204" s="48" t="s">
        <v>1991</v>
      </c>
      <c r="C204" s="48" t="s">
        <v>1970</v>
      </c>
      <c r="D204" s="48">
        <v>200130</v>
      </c>
      <c r="E204" s="49">
        <v>43860</v>
      </c>
      <c r="F204" s="31"/>
      <c r="G204" s="31"/>
    </row>
    <row r="205" spans="1:7" x14ac:dyDescent="0.35">
      <c r="A205" s="47">
        <v>1</v>
      </c>
      <c r="B205" s="48" t="s">
        <v>2002</v>
      </c>
      <c r="C205" s="48" t="s">
        <v>1970</v>
      </c>
      <c r="D205" s="48">
        <v>200130</v>
      </c>
      <c r="E205" s="49">
        <v>43860</v>
      </c>
      <c r="F205" s="31"/>
      <c r="G205" s="31"/>
    </row>
    <row r="206" spans="1:7" x14ac:dyDescent="0.35">
      <c r="A206" s="47">
        <v>1</v>
      </c>
      <c r="B206" s="48" t="s">
        <v>2003</v>
      </c>
      <c r="C206" s="48" t="s">
        <v>1970</v>
      </c>
      <c r="D206" s="48">
        <v>200130</v>
      </c>
      <c r="E206" s="49">
        <v>43860</v>
      </c>
      <c r="F206" s="31"/>
      <c r="G206" s="31"/>
    </row>
    <row r="207" spans="1:7" x14ac:dyDescent="0.35">
      <c r="A207" s="47">
        <v>1</v>
      </c>
      <c r="B207" s="48" t="s">
        <v>2020</v>
      </c>
      <c r="C207" s="48" t="s">
        <v>1970</v>
      </c>
      <c r="D207" s="48">
        <v>200130</v>
      </c>
      <c r="E207" s="49">
        <v>43860</v>
      </c>
      <c r="F207" s="31"/>
      <c r="G207" s="31"/>
    </row>
    <row r="208" spans="1:7" x14ac:dyDescent="0.35">
      <c r="A208" s="47">
        <v>1</v>
      </c>
      <c r="B208" s="48" t="s">
        <v>2022</v>
      </c>
      <c r="C208" s="48" t="s">
        <v>1970</v>
      </c>
      <c r="D208" s="48">
        <v>200130</v>
      </c>
      <c r="E208" s="49">
        <v>43860</v>
      </c>
      <c r="F208" s="31"/>
      <c r="G208" s="31"/>
    </row>
    <row r="209" spans="1:7" x14ac:dyDescent="0.35">
      <c r="A209" s="47">
        <v>1</v>
      </c>
      <c r="B209" s="48" t="s">
        <v>2024</v>
      </c>
      <c r="C209" s="48" t="s">
        <v>1970</v>
      </c>
      <c r="D209" s="48">
        <v>200130</v>
      </c>
      <c r="E209" s="49">
        <v>43860</v>
      </c>
      <c r="F209" s="31"/>
      <c r="G209" s="31"/>
    </row>
    <row r="210" spans="1:7" x14ac:dyDescent="0.35">
      <c r="A210" s="47">
        <v>1</v>
      </c>
      <c r="B210" s="48" t="s">
        <v>2027</v>
      </c>
      <c r="C210" s="48" t="s">
        <v>1970</v>
      </c>
      <c r="D210" s="48">
        <v>200130</v>
      </c>
      <c r="E210" s="49">
        <v>43860</v>
      </c>
      <c r="F210" s="31"/>
      <c r="G210" s="31"/>
    </row>
    <row r="211" spans="1:7" x14ac:dyDescent="0.35">
      <c r="A211" s="47">
        <v>1</v>
      </c>
      <c r="B211" s="48" t="s">
        <v>2030</v>
      </c>
      <c r="C211" s="48" t="s">
        <v>1970</v>
      </c>
      <c r="D211" s="48">
        <v>200130</v>
      </c>
      <c r="E211" s="49">
        <v>43860</v>
      </c>
      <c r="F211" s="31"/>
      <c r="G211" s="31"/>
    </row>
    <row r="212" spans="1:7" x14ac:dyDescent="0.35">
      <c r="A212" s="47">
        <v>1</v>
      </c>
      <c r="B212" s="48" t="s">
        <v>2033</v>
      </c>
      <c r="C212" s="48" t="s">
        <v>1970</v>
      </c>
      <c r="D212" s="48">
        <v>200130</v>
      </c>
      <c r="E212" s="49">
        <v>43860</v>
      </c>
      <c r="F212" s="31"/>
      <c r="G212" s="31"/>
    </row>
    <row r="213" spans="1:7" x14ac:dyDescent="0.35">
      <c r="A213" s="47">
        <v>1</v>
      </c>
      <c r="B213" s="48" t="s">
        <v>2034</v>
      </c>
      <c r="C213" s="48" t="s">
        <v>1970</v>
      </c>
      <c r="D213" s="48">
        <v>200130</v>
      </c>
      <c r="E213" s="49">
        <v>43860</v>
      </c>
      <c r="F213" s="31"/>
      <c r="G213" s="31"/>
    </row>
    <row r="214" spans="1:7" x14ac:dyDescent="0.35">
      <c r="A214" s="47">
        <v>1</v>
      </c>
      <c r="B214" s="48" t="s">
        <v>2040</v>
      </c>
      <c r="C214" s="48" t="s">
        <v>1970</v>
      </c>
      <c r="D214" s="48">
        <v>200130</v>
      </c>
      <c r="E214" s="49">
        <v>43860</v>
      </c>
      <c r="F214" s="31"/>
      <c r="G214" s="31"/>
    </row>
    <row r="215" spans="1:7" x14ac:dyDescent="0.35">
      <c r="A215" s="47">
        <v>1</v>
      </c>
      <c r="B215" s="48" t="s">
        <v>2045</v>
      </c>
      <c r="C215" s="48" t="s">
        <v>1970</v>
      </c>
      <c r="D215" s="48">
        <v>200130</v>
      </c>
      <c r="E215" s="49">
        <v>43860</v>
      </c>
      <c r="F215" s="31"/>
      <c r="G215" s="31"/>
    </row>
    <row r="216" spans="1:7" x14ac:dyDescent="0.35">
      <c r="A216" s="47">
        <v>1</v>
      </c>
      <c r="B216" s="48" t="s">
        <v>2048</v>
      </c>
      <c r="C216" s="48" t="s">
        <v>1970</v>
      </c>
      <c r="D216" s="48">
        <v>200130</v>
      </c>
      <c r="E216" s="49">
        <v>43860</v>
      </c>
      <c r="F216" s="31"/>
      <c r="G216" s="31"/>
    </row>
    <row r="217" spans="1:7" x14ac:dyDescent="0.35">
      <c r="A217" s="47">
        <v>1</v>
      </c>
      <c r="B217" s="48" t="s">
        <v>2049</v>
      </c>
      <c r="C217" s="48" t="s">
        <v>1970</v>
      </c>
      <c r="D217" s="48">
        <v>200130</v>
      </c>
      <c r="E217" s="49">
        <v>43860</v>
      </c>
      <c r="F217" s="31"/>
      <c r="G217" s="31"/>
    </row>
    <row r="218" spans="1:7" x14ac:dyDescent="0.35">
      <c r="A218" s="47">
        <v>1</v>
      </c>
      <c r="B218" s="48" t="s">
        <v>2054</v>
      </c>
      <c r="C218" s="48" t="s">
        <v>1970</v>
      </c>
      <c r="D218" s="48">
        <v>200130</v>
      </c>
      <c r="E218" s="49">
        <v>43860</v>
      </c>
      <c r="F218" s="31"/>
      <c r="G218" s="31"/>
    </row>
    <row r="219" spans="1:7" x14ac:dyDescent="0.35">
      <c r="A219" s="47">
        <v>1</v>
      </c>
      <c r="B219" s="48" t="s">
        <v>2061</v>
      </c>
      <c r="C219" s="48" t="s">
        <v>1970</v>
      </c>
      <c r="D219" s="48">
        <v>200130</v>
      </c>
      <c r="E219" s="49">
        <v>43860</v>
      </c>
      <c r="F219" s="31"/>
      <c r="G219" s="31"/>
    </row>
    <row r="220" spans="1:7" x14ac:dyDescent="0.35">
      <c r="A220" s="47">
        <v>1</v>
      </c>
      <c r="B220" s="48" t="s">
        <v>2062</v>
      </c>
      <c r="C220" s="48" t="s">
        <v>1970</v>
      </c>
      <c r="D220" s="48">
        <v>200130</v>
      </c>
      <c r="E220" s="49">
        <v>43860</v>
      </c>
      <c r="F220" s="31"/>
      <c r="G220" s="31"/>
    </row>
    <row r="221" spans="1:7" x14ac:dyDescent="0.35">
      <c r="A221" s="47">
        <v>1</v>
      </c>
      <c r="B221" s="48" t="s">
        <v>2064</v>
      </c>
      <c r="C221" s="48" t="s">
        <v>1970</v>
      </c>
      <c r="D221" s="48">
        <v>200130</v>
      </c>
      <c r="E221" s="49">
        <v>43860</v>
      </c>
      <c r="F221" s="31"/>
      <c r="G221" s="31"/>
    </row>
    <row r="222" spans="1:7" x14ac:dyDescent="0.35">
      <c r="A222" s="47">
        <v>1</v>
      </c>
      <c r="B222" s="48" t="s">
        <v>2065</v>
      </c>
      <c r="C222" s="48" t="s">
        <v>1970</v>
      </c>
      <c r="D222" s="48">
        <v>200130</v>
      </c>
      <c r="E222" s="49">
        <v>43860</v>
      </c>
      <c r="F222" s="31"/>
      <c r="G222" s="31"/>
    </row>
    <row r="223" spans="1:7" x14ac:dyDescent="0.35">
      <c r="A223" s="47">
        <v>1</v>
      </c>
      <c r="B223" s="48" t="s">
        <v>2066</v>
      </c>
      <c r="C223" s="48" t="s">
        <v>1970</v>
      </c>
      <c r="D223" s="48">
        <v>200130</v>
      </c>
      <c r="E223" s="49">
        <v>43860</v>
      </c>
      <c r="F223" s="31"/>
      <c r="G223" s="31"/>
    </row>
    <row r="224" spans="1:7" x14ac:dyDescent="0.35">
      <c r="A224" s="47">
        <v>1</v>
      </c>
      <c r="B224" s="48" t="s">
        <v>2068</v>
      </c>
      <c r="C224" s="48" t="s">
        <v>1970</v>
      </c>
      <c r="D224" s="48">
        <v>200130</v>
      </c>
      <c r="E224" s="49">
        <v>43860</v>
      </c>
      <c r="F224" s="31"/>
      <c r="G224" s="31"/>
    </row>
    <row r="225" spans="1:7" x14ac:dyDescent="0.35">
      <c r="A225" s="47">
        <v>1</v>
      </c>
      <c r="B225" s="48" t="s">
        <v>2077</v>
      </c>
      <c r="C225" s="48" t="s">
        <v>1970</v>
      </c>
      <c r="D225" s="48">
        <v>200130</v>
      </c>
      <c r="E225" s="49">
        <v>43860</v>
      </c>
      <c r="F225" s="31"/>
      <c r="G225" s="31"/>
    </row>
    <row r="226" spans="1:7" x14ac:dyDescent="0.35">
      <c r="A226" s="47">
        <v>1</v>
      </c>
      <c r="B226" s="48" t="s">
        <v>2083</v>
      </c>
      <c r="C226" s="48" t="s">
        <v>1970</v>
      </c>
      <c r="D226" s="48">
        <v>200130</v>
      </c>
      <c r="E226" s="49">
        <v>43860</v>
      </c>
      <c r="F226" s="31"/>
      <c r="G226" s="31"/>
    </row>
    <row r="227" spans="1:7" x14ac:dyDescent="0.35">
      <c r="A227" s="47">
        <v>1</v>
      </c>
      <c r="B227" s="48" t="s">
        <v>2084</v>
      </c>
      <c r="C227" s="48" t="s">
        <v>1970</v>
      </c>
      <c r="D227" s="48">
        <v>200130</v>
      </c>
      <c r="E227" s="49">
        <v>43860</v>
      </c>
      <c r="F227" s="31"/>
      <c r="G227" s="31"/>
    </row>
    <row r="228" spans="1:7" x14ac:dyDescent="0.35">
      <c r="A228" s="47">
        <v>1</v>
      </c>
      <c r="B228" s="48" t="s">
        <v>2086</v>
      </c>
      <c r="C228" s="48" t="s">
        <v>1970</v>
      </c>
      <c r="D228" s="48">
        <v>200130</v>
      </c>
      <c r="E228" s="49">
        <v>43860</v>
      </c>
      <c r="F228" s="31"/>
      <c r="G228" s="31"/>
    </row>
    <row r="229" spans="1:7" x14ac:dyDescent="0.35">
      <c r="A229" s="47">
        <v>1</v>
      </c>
      <c r="B229" s="48" t="s">
        <v>2089</v>
      </c>
      <c r="C229" s="48" t="s">
        <v>1970</v>
      </c>
      <c r="D229" s="48">
        <v>200130</v>
      </c>
      <c r="E229" s="49">
        <v>43860</v>
      </c>
      <c r="F229" s="31"/>
      <c r="G229" s="31"/>
    </row>
    <row r="230" spans="1:7" x14ac:dyDescent="0.35">
      <c r="A230" s="47">
        <v>1</v>
      </c>
      <c r="B230" s="48" t="s">
        <v>2090</v>
      </c>
      <c r="C230" s="48" t="s">
        <v>1970</v>
      </c>
      <c r="D230" s="48">
        <v>200130</v>
      </c>
      <c r="E230" s="49">
        <v>43860</v>
      </c>
      <c r="F230" s="31"/>
      <c r="G230" s="31"/>
    </row>
    <row r="231" spans="1:7" x14ac:dyDescent="0.35">
      <c r="A231" s="47">
        <v>1</v>
      </c>
      <c r="B231" s="48" t="s">
        <v>2094</v>
      </c>
      <c r="C231" s="48" t="s">
        <v>1970</v>
      </c>
      <c r="D231" s="48">
        <v>200130</v>
      </c>
      <c r="E231" s="49">
        <v>43860</v>
      </c>
      <c r="F231" s="31"/>
      <c r="G231" s="31"/>
    </row>
    <row r="232" spans="1:7" x14ac:dyDescent="0.35">
      <c r="A232" s="47">
        <v>1</v>
      </c>
      <c r="B232" s="48" t="s">
        <v>2096</v>
      </c>
      <c r="C232" s="48" t="s">
        <v>1970</v>
      </c>
      <c r="D232" s="48">
        <v>200130</v>
      </c>
      <c r="E232" s="49">
        <v>43860</v>
      </c>
      <c r="F232" s="31"/>
      <c r="G232" s="31"/>
    </row>
    <row r="233" spans="1:7" x14ac:dyDescent="0.35">
      <c r="A233" s="47">
        <v>1</v>
      </c>
      <c r="B233" s="48" t="s">
        <v>2098</v>
      </c>
      <c r="C233" s="48" t="s">
        <v>1970</v>
      </c>
      <c r="D233" s="48">
        <v>200130</v>
      </c>
      <c r="E233" s="49">
        <v>43860</v>
      </c>
      <c r="F233" s="31"/>
      <c r="G233" s="31"/>
    </row>
    <row r="234" spans="1:7" x14ac:dyDescent="0.35">
      <c r="A234" s="47">
        <v>1</v>
      </c>
      <c r="B234" s="48" t="s">
        <v>2107</v>
      </c>
      <c r="C234" s="48" t="s">
        <v>1970</v>
      </c>
      <c r="D234" s="48">
        <v>200130</v>
      </c>
      <c r="E234" s="49">
        <v>43860</v>
      </c>
      <c r="F234" s="31"/>
      <c r="G234" s="31"/>
    </row>
    <row r="235" spans="1:7" x14ac:dyDescent="0.35">
      <c r="A235" s="47">
        <v>1</v>
      </c>
      <c r="B235" s="48" t="s">
        <v>2142</v>
      </c>
      <c r="C235" s="48" t="s">
        <v>1968</v>
      </c>
      <c r="D235" s="48">
        <v>200210</v>
      </c>
      <c r="E235" s="49">
        <v>43871</v>
      </c>
      <c r="F235" s="31"/>
      <c r="G235" s="31"/>
    </row>
    <row r="236" spans="1:7" x14ac:dyDescent="0.35">
      <c r="A236" s="47">
        <v>1</v>
      </c>
      <c r="B236" s="48" t="s">
        <v>2143</v>
      </c>
      <c r="C236" s="48" t="s">
        <v>1968</v>
      </c>
      <c r="D236" s="48">
        <v>200210</v>
      </c>
      <c r="E236" s="49">
        <v>43871</v>
      </c>
      <c r="F236" s="31"/>
      <c r="G236" s="31"/>
    </row>
    <row r="237" spans="1:7" x14ac:dyDescent="0.35">
      <c r="A237" s="47">
        <v>1</v>
      </c>
      <c r="B237" s="48" t="s">
        <v>2118</v>
      </c>
      <c r="C237" s="48" t="s">
        <v>1975</v>
      </c>
      <c r="D237" s="48">
        <v>200210</v>
      </c>
      <c r="E237" s="49">
        <v>43871</v>
      </c>
      <c r="F237" s="31"/>
      <c r="G237" s="31"/>
    </row>
    <row r="238" spans="1:7" x14ac:dyDescent="0.35">
      <c r="A238" s="47">
        <v>1</v>
      </c>
      <c r="B238" s="48" t="s">
        <v>2126</v>
      </c>
      <c r="C238" s="48" t="s">
        <v>1975</v>
      </c>
      <c r="D238" s="48">
        <v>200210</v>
      </c>
      <c r="E238" s="49">
        <v>43871</v>
      </c>
      <c r="F238" s="31"/>
      <c r="G238" s="31"/>
    </row>
    <row r="239" spans="1:7" x14ac:dyDescent="0.35">
      <c r="A239" s="47">
        <v>1</v>
      </c>
      <c r="B239" s="48" t="s">
        <v>2144</v>
      </c>
      <c r="C239" s="48" t="s">
        <v>1968</v>
      </c>
      <c r="D239" s="48">
        <v>200224</v>
      </c>
      <c r="E239" s="49">
        <v>43885</v>
      </c>
      <c r="F239" s="31"/>
      <c r="G239" s="31"/>
    </row>
    <row r="240" spans="1:7" x14ac:dyDescent="0.35">
      <c r="A240" s="47">
        <v>1</v>
      </c>
      <c r="B240" s="48" t="s">
        <v>2145</v>
      </c>
      <c r="C240" s="48" t="s">
        <v>1968</v>
      </c>
      <c r="D240" s="48">
        <v>200224</v>
      </c>
      <c r="E240" s="49">
        <v>43885</v>
      </c>
      <c r="F240" s="31"/>
      <c r="G240" s="31"/>
    </row>
    <row r="241" spans="1:7" x14ac:dyDescent="0.35">
      <c r="A241" s="47">
        <v>1</v>
      </c>
      <c r="B241" s="48" t="s">
        <v>2146</v>
      </c>
      <c r="C241" s="48" t="s">
        <v>1968</v>
      </c>
      <c r="D241" s="48">
        <v>200224</v>
      </c>
      <c r="E241" s="49">
        <v>43885</v>
      </c>
      <c r="F241" s="31"/>
      <c r="G241" s="31"/>
    </row>
    <row r="242" spans="1:7" x14ac:dyDescent="0.35">
      <c r="A242" s="47">
        <v>1</v>
      </c>
      <c r="B242" s="48" t="s">
        <v>2147</v>
      </c>
      <c r="C242" s="48" t="s">
        <v>1968</v>
      </c>
      <c r="D242" s="48">
        <v>200224</v>
      </c>
      <c r="E242" s="49">
        <v>43885</v>
      </c>
      <c r="F242" s="31"/>
      <c r="G242" s="31"/>
    </row>
    <row r="243" spans="1:7" x14ac:dyDescent="0.35">
      <c r="A243" s="47">
        <v>1</v>
      </c>
      <c r="B243" s="48" t="s">
        <v>2148</v>
      </c>
      <c r="C243" s="48" t="s">
        <v>1968</v>
      </c>
      <c r="D243" s="48">
        <v>200224</v>
      </c>
      <c r="E243" s="49">
        <v>43885</v>
      </c>
      <c r="F243" s="31"/>
      <c r="G243" s="31"/>
    </row>
    <row r="244" spans="1:7" x14ac:dyDescent="0.35">
      <c r="A244" s="47">
        <v>1</v>
      </c>
      <c r="B244" s="48" t="s">
        <v>2149</v>
      </c>
      <c r="C244" s="48" t="s">
        <v>1970</v>
      </c>
      <c r="D244" s="48">
        <v>200224</v>
      </c>
      <c r="E244" s="49">
        <v>43885</v>
      </c>
      <c r="F244" s="31"/>
      <c r="G244" s="31"/>
    </row>
    <row r="245" spans="1:7" x14ac:dyDescent="0.35">
      <c r="A245" s="47">
        <v>1</v>
      </c>
      <c r="B245" s="48" t="s">
        <v>1983</v>
      </c>
      <c r="C245" s="48" t="s">
        <v>1970</v>
      </c>
      <c r="D245" s="48">
        <v>200224</v>
      </c>
      <c r="E245" s="49">
        <v>43885</v>
      </c>
      <c r="F245" s="31"/>
      <c r="G245" s="31"/>
    </row>
    <row r="246" spans="1:7" x14ac:dyDescent="0.35">
      <c r="A246" s="47">
        <v>1</v>
      </c>
      <c r="B246" s="48" t="s">
        <v>2047</v>
      </c>
      <c r="C246" s="48" t="s">
        <v>1970</v>
      </c>
      <c r="D246" s="48">
        <v>200224</v>
      </c>
      <c r="E246" s="49">
        <v>43885</v>
      </c>
      <c r="F246" s="31"/>
      <c r="G246" s="31"/>
    </row>
    <row r="247" spans="1:7" x14ac:dyDescent="0.35">
      <c r="A247" s="47">
        <v>1</v>
      </c>
      <c r="B247" s="48" t="s">
        <v>2092</v>
      </c>
      <c r="C247" s="48" t="s">
        <v>1975</v>
      </c>
      <c r="D247" s="48">
        <v>200224</v>
      </c>
      <c r="E247" s="49">
        <v>43885</v>
      </c>
      <c r="F247" s="31"/>
      <c r="G247" s="31"/>
    </row>
    <row r="248" spans="1:7" x14ac:dyDescent="0.35">
      <c r="A248" s="47">
        <v>1</v>
      </c>
      <c r="B248" s="48" t="s">
        <v>2085</v>
      </c>
      <c r="C248" s="48" t="s">
        <v>1970</v>
      </c>
      <c r="D248" s="48">
        <v>200304</v>
      </c>
      <c r="E248" s="49">
        <v>43894</v>
      </c>
      <c r="F248" s="31"/>
      <c r="G248" s="31"/>
    </row>
    <row r="249" spans="1:7" x14ac:dyDescent="0.35">
      <c r="A249" s="47">
        <v>1</v>
      </c>
      <c r="B249" s="48" t="s">
        <v>2126</v>
      </c>
      <c r="C249" s="48" t="s">
        <v>1970</v>
      </c>
      <c r="D249" s="48">
        <v>200304</v>
      </c>
      <c r="E249" s="49">
        <v>43894</v>
      </c>
      <c r="F249" s="31"/>
      <c r="G249" s="31"/>
    </row>
    <row r="250" spans="1:7" x14ac:dyDescent="0.35">
      <c r="A250" s="47">
        <v>1</v>
      </c>
      <c r="B250" s="48" t="s">
        <v>2127</v>
      </c>
      <c r="C250" s="48" t="s">
        <v>1970</v>
      </c>
      <c r="D250" s="48">
        <v>200304</v>
      </c>
      <c r="E250" s="49">
        <v>43894</v>
      </c>
      <c r="F250" s="31"/>
      <c r="G250" s="31"/>
    </row>
    <row r="251" spans="1:7" x14ac:dyDescent="0.35">
      <c r="A251" s="47">
        <v>1</v>
      </c>
      <c r="B251" s="48" t="s">
        <v>2150</v>
      </c>
      <c r="C251" s="48" t="s">
        <v>1976</v>
      </c>
      <c r="D251" s="48">
        <v>200304</v>
      </c>
      <c r="E251" s="49">
        <v>43894</v>
      </c>
      <c r="F251" s="31"/>
      <c r="G251" s="31"/>
    </row>
    <row r="252" spans="1:7" x14ac:dyDescent="0.35">
      <c r="A252" s="47">
        <v>1</v>
      </c>
      <c r="B252" s="48" t="s">
        <v>2151</v>
      </c>
      <c r="C252" s="48" t="s">
        <v>1976</v>
      </c>
      <c r="D252" s="48">
        <v>200304</v>
      </c>
      <c r="E252" s="49">
        <v>43894</v>
      </c>
      <c r="F252" s="31"/>
      <c r="G252" s="31"/>
    </row>
    <row r="253" spans="1:7" x14ac:dyDescent="0.35">
      <c r="A253" s="47">
        <v>1</v>
      </c>
      <c r="B253" s="48" t="s">
        <v>2152</v>
      </c>
      <c r="C253" s="48" t="s">
        <v>1976</v>
      </c>
      <c r="D253" s="48">
        <v>200304</v>
      </c>
      <c r="E253" s="49">
        <v>43894</v>
      </c>
      <c r="F253" s="31"/>
      <c r="G253" s="31"/>
    </row>
    <row r="254" spans="1:7" x14ac:dyDescent="0.35">
      <c r="A254" s="47">
        <v>1</v>
      </c>
      <c r="B254" s="48" t="s">
        <v>2153</v>
      </c>
      <c r="C254" s="48" t="s">
        <v>1968</v>
      </c>
      <c r="D254" s="48">
        <v>200323</v>
      </c>
      <c r="E254" s="49">
        <v>43913</v>
      </c>
      <c r="F254" s="31"/>
      <c r="G254" s="31"/>
    </row>
    <row r="255" spans="1:7" x14ac:dyDescent="0.35">
      <c r="A255" s="47">
        <v>1</v>
      </c>
      <c r="B255" s="48" t="s">
        <v>2154</v>
      </c>
      <c r="C255" s="48" t="s">
        <v>1968</v>
      </c>
      <c r="D255" s="48">
        <v>200323</v>
      </c>
      <c r="E255" s="49">
        <v>43913</v>
      </c>
      <c r="F255" s="31"/>
      <c r="G255" s="31"/>
    </row>
    <row r="256" spans="1:7" x14ac:dyDescent="0.35">
      <c r="A256" s="47">
        <v>1</v>
      </c>
      <c r="B256" s="48" t="s">
        <v>2155</v>
      </c>
      <c r="C256" s="48" t="s">
        <v>1968</v>
      </c>
      <c r="D256" s="48">
        <v>200323</v>
      </c>
      <c r="E256" s="49">
        <v>43913</v>
      </c>
      <c r="F256" s="31"/>
      <c r="G256" s="31"/>
    </row>
    <row r="257" spans="1:7" x14ac:dyDescent="0.35">
      <c r="A257" s="47">
        <v>1</v>
      </c>
      <c r="B257" s="48" t="s">
        <v>2156</v>
      </c>
      <c r="C257" s="48" t="s">
        <v>1968</v>
      </c>
      <c r="D257" s="48">
        <v>200323</v>
      </c>
      <c r="E257" s="49">
        <v>43913</v>
      </c>
      <c r="F257" s="31"/>
      <c r="G257" s="31"/>
    </row>
    <row r="258" spans="1:7" x14ac:dyDescent="0.35">
      <c r="A258" s="47">
        <v>1</v>
      </c>
      <c r="B258" s="48" t="s">
        <v>2157</v>
      </c>
      <c r="C258" s="48" t="s">
        <v>1968</v>
      </c>
      <c r="D258" s="48">
        <v>200323</v>
      </c>
      <c r="E258" s="49">
        <v>43913</v>
      </c>
      <c r="F258" s="31"/>
      <c r="G258" s="31"/>
    </row>
    <row r="259" spans="1:7" x14ac:dyDescent="0.35">
      <c r="A259" s="47">
        <v>1</v>
      </c>
      <c r="B259" s="48" t="s">
        <v>2158</v>
      </c>
      <c r="C259" s="48" t="s">
        <v>1968</v>
      </c>
      <c r="D259" s="48">
        <v>200323</v>
      </c>
      <c r="E259" s="49">
        <v>43913</v>
      </c>
      <c r="F259" s="31"/>
      <c r="G259" s="31"/>
    </row>
    <row r="260" spans="1:7" x14ac:dyDescent="0.35">
      <c r="A260" s="47">
        <v>1</v>
      </c>
      <c r="B260" s="48" t="s">
        <v>2159</v>
      </c>
      <c r="C260" s="48" t="s">
        <v>1968</v>
      </c>
      <c r="D260" s="48">
        <v>200323</v>
      </c>
      <c r="E260" s="49">
        <v>43913</v>
      </c>
      <c r="F260" s="31"/>
      <c r="G260" s="31"/>
    </row>
    <row r="261" spans="1:7" x14ac:dyDescent="0.35">
      <c r="A261" s="47">
        <v>1</v>
      </c>
      <c r="B261" s="48" t="s">
        <v>2160</v>
      </c>
      <c r="C261" s="48" t="s">
        <v>1968</v>
      </c>
      <c r="D261" s="48">
        <v>200323</v>
      </c>
      <c r="E261" s="49">
        <v>43913</v>
      </c>
      <c r="F261" s="31"/>
      <c r="G261" s="31"/>
    </row>
    <row r="262" spans="1:7" x14ac:dyDescent="0.35">
      <c r="A262" s="47">
        <v>1</v>
      </c>
      <c r="B262" s="48" t="s">
        <v>2161</v>
      </c>
      <c r="C262" s="48" t="s">
        <v>1968</v>
      </c>
      <c r="D262" s="48">
        <v>200323</v>
      </c>
      <c r="E262" s="49">
        <v>43913</v>
      </c>
      <c r="F262" s="31"/>
      <c r="G262" s="31"/>
    </row>
    <row r="263" spans="1:7" x14ac:dyDescent="0.35">
      <c r="A263" s="47">
        <v>1</v>
      </c>
      <c r="B263" s="48" t="s">
        <v>2162</v>
      </c>
      <c r="C263" s="48" t="s">
        <v>1968</v>
      </c>
      <c r="D263" s="48">
        <v>200323</v>
      </c>
      <c r="E263" s="49">
        <v>43913</v>
      </c>
      <c r="F263" s="31"/>
      <c r="G263" s="31"/>
    </row>
    <row r="264" spans="1:7" x14ac:dyDescent="0.35">
      <c r="A264" s="47">
        <v>1</v>
      </c>
      <c r="B264" s="48" t="s">
        <v>2163</v>
      </c>
      <c r="C264" s="48" t="s">
        <v>1968</v>
      </c>
      <c r="D264" s="48">
        <v>200323</v>
      </c>
      <c r="E264" s="49">
        <v>43913</v>
      </c>
      <c r="F264" s="31"/>
      <c r="G264" s="31"/>
    </row>
    <row r="265" spans="1:7" x14ac:dyDescent="0.35">
      <c r="A265" s="47">
        <v>1</v>
      </c>
      <c r="B265" s="48" t="s">
        <v>2164</v>
      </c>
      <c r="C265" s="48" t="s">
        <v>1968</v>
      </c>
      <c r="D265" s="48">
        <v>200323</v>
      </c>
      <c r="E265" s="49">
        <v>43913</v>
      </c>
      <c r="F265" s="31"/>
      <c r="G265" s="31"/>
    </row>
    <row r="266" spans="1:7" x14ac:dyDescent="0.35">
      <c r="A266" s="47">
        <v>1</v>
      </c>
      <c r="B266" s="48" t="s">
        <v>2079</v>
      </c>
      <c r="C266" s="48" t="s">
        <v>1970</v>
      </c>
      <c r="D266" s="48">
        <v>200323</v>
      </c>
      <c r="E266" s="49">
        <v>43913</v>
      </c>
      <c r="F266" s="31"/>
      <c r="G266" s="31"/>
    </row>
    <row r="267" spans="1:7" x14ac:dyDescent="0.35">
      <c r="A267" s="47">
        <v>1</v>
      </c>
      <c r="B267" s="48" t="s">
        <v>2165</v>
      </c>
      <c r="C267" s="48" t="s">
        <v>1970</v>
      </c>
      <c r="D267" s="48">
        <v>200323</v>
      </c>
      <c r="E267" s="49">
        <v>43913</v>
      </c>
      <c r="F267" s="31"/>
      <c r="G267" s="31"/>
    </row>
    <row r="268" spans="1:7" x14ac:dyDescent="0.35">
      <c r="A268" s="47">
        <v>1</v>
      </c>
      <c r="B268" s="48" t="s">
        <v>2150</v>
      </c>
      <c r="C268" s="48" t="s">
        <v>1970</v>
      </c>
      <c r="D268" s="48">
        <v>200323</v>
      </c>
      <c r="E268" s="49">
        <v>43913</v>
      </c>
      <c r="F268" s="31"/>
      <c r="G268" s="31"/>
    </row>
    <row r="269" spans="1:7" x14ac:dyDescent="0.35">
      <c r="A269" s="47">
        <v>1</v>
      </c>
      <c r="B269" s="48" t="s">
        <v>2023</v>
      </c>
      <c r="C269" s="48" t="s">
        <v>1970</v>
      </c>
      <c r="D269" s="48">
        <v>200323</v>
      </c>
      <c r="E269" s="49">
        <v>43913</v>
      </c>
      <c r="F269" s="31"/>
      <c r="G269" s="31"/>
    </row>
    <row r="270" spans="1:7" x14ac:dyDescent="0.35">
      <c r="A270" s="47">
        <v>1</v>
      </c>
      <c r="B270" s="48" t="s">
        <v>2166</v>
      </c>
      <c r="C270" s="48" t="s">
        <v>1970</v>
      </c>
      <c r="D270" s="48">
        <v>200323</v>
      </c>
      <c r="E270" s="49">
        <v>43913</v>
      </c>
      <c r="F270" s="31"/>
      <c r="G270" s="31"/>
    </row>
    <row r="271" spans="1:7" x14ac:dyDescent="0.35">
      <c r="A271" s="47">
        <v>1</v>
      </c>
      <c r="B271" s="48" t="s">
        <v>1981</v>
      </c>
      <c r="C271" s="48" t="s">
        <v>1970</v>
      </c>
      <c r="D271" s="48">
        <v>200323</v>
      </c>
      <c r="E271" s="49">
        <v>43913</v>
      </c>
      <c r="F271" s="31"/>
      <c r="G271" s="31"/>
    </row>
    <row r="272" spans="1:7" x14ac:dyDescent="0.35">
      <c r="A272" s="47">
        <v>1</v>
      </c>
      <c r="B272" s="48" t="s">
        <v>1982</v>
      </c>
      <c r="C272" s="48" t="s">
        <v>1970</v>
      </c>
      <c r="D272" s="48">
        <v>200323</v>
      </c>
      <c r="E272" s="49">
        <v>43913</v>
      </c>
      <c r="F272" s="31"/>
      <c r="G272" s="31"/>
    </row>
    <row r="273" spans="1:7" x14ac:dyDescent="0.35">
      <c r="A273" s="47">
        <v>1</v>
      </c>
      <c r="B273" s="48" t="s">
        <v>1987</v>
      </c>
      <c r="C273" s="48" t="s">
        <v>1970</v>
      </c>
      <c r="D273" s="48">
        <v>200323</v>
      </c>
      <c r="E273" s="49">
        <v>43913</v>
      </c>
      <c r="F273" s="31"/>
      <c r="G273" s="31"/>
    </row>
    <row r="274" spans="1:7" x14ac:dyDescent="0.35">
      <c r="A274" s="47">
        <v>1</v>
      </c>
      <c r="B274" s="48" t="s">
        <v>2000</v>
      </c>
      <c r="C274" s="48" t="s">
        <v>1970</v>
      </c>
      <c r="D274" s="48">
        <v>200323</v>
      </c>
      <c r="E274" s="49">
        <v>43913</v>
      </c>
      <c r="F274" s="31"/>
      <c r="G274" s="31"/>
    </row>
    <row r="275" spans="1:7" x14ac:dyDescent="0.35">
      <c r="A275" s="47">
        <v>1</v>
      </c>
      <c r="B275" s="48" t="s">
        <v>2004</v>
      </c>
      <c r="C275" s="48" t="s">
        <v>1970</v>
      </c>
      <c r="D275" s="48">
        <v>200323</v>
      </c>
      <c r="E275" s="49">
        <v>43913</v>
      </c>
      <c r="F275" s="31"/>
      <c r="G275" s="31"/>
    </row>
    <row r="276" spans="1:7" x14ac:dyDescent="0.35">
      <c r="A276" s="47">
        <v>1</v>
      </c>
      <c r="B276" s="48" t="s">
        <v>2005</v>
      </c>
      <c r="C276" s="48" t="s">
        <v>1970</v>
      </c>
      <c r="D276" s="48">
        <v>200323</v>
      </c>
      <c r="E276" s="49">
        <v>43913</v>
      </c>
      <c r="F276" s="31"/>
      <c r="G276" s="31"/>
    </row>
    <row r="277" spans="1:7" x14ac:dyDescent="0.35">
      <c r="A277" s="47">
        <v>1</v>
      </c>
      <c r="B277" s="48" t="s">
        <v>2006</v>
      </c>
      <c r="C277" s="48" t="s">
        <v>1970</v>
      </c>
      <c r="D277" s="48">
        <v>200323</v>
      </c>
      <c r="E277" s="49">
        <v>43913</v>
      </c>
      <c r="F277" s="31"/>
      <c r="G277" s="31"/>
    </row>
    <row r="278" spans="1:7" x14ac:dyDescent="0.35">
      <c r="A278" s="47">
        <v>1</v>
      </c>
      <c r="B278" s="48" t="s">
        <v>2025</v>
      </c>
      <c r="C278" s="48" t="s">
        <v>1970</v>
      </c>
      <c r="D278" s="48">
        <v>200323</v>
      </c>
      <c r="E278" s="49">
        <v>43913</v>
      </c>
      <c r="F278" s="31"/>
      <c r="G278" s="31"/>
    </row>
    <row r="279" spans="1:7" x14ac:dyDescent="0.35">
      <c r="A279" s="47">
        <v>1</v>
      </c>
      <c r="B279" s="48" t="s">
        <v>2028</v>
      </c>
      <c r="C279" s="48" t="s">
        <v>1970</v>
      </c>
      <c r="D279" s="48">
        <v>200323</v>
      </c>
      <c r="E279" s="49">
        <v>43913</v>
      </c>
      <c r="F279" s="31"/>
      <c r="G279" s="31"/>
    </row>
    <row r="280" spans="1:7" x14ac:dyDescent="0.35">
      <c r="A280" s="47">
        <v>1</v>
      </c>
      <c r="B280" s="48" t="s">
        <v>2037</v>
      </c>
      <c r="C280" s="48" t="s">
        <v>1970</v>
      </c>
      <c r="D280" s="48">
        <v>200323</v>
      </c>
      <c r="E280" s="49">
        <v>43913</v>
      </c>
      <c r="F280" s="31"/>
      <c r="G280" s="31"/>
    </row>
    <row r="281" spans="1:7" x14ac:dyDescent="0.35">
      <c r="A281" s="47">
        <v>1</v>
      </c>
      <c r="B281" s="48" t="s">
        <v>2043</v>
      </c>
      <c r="C281" s="48" t="s">
        <v>1970</v>
      </c>
      <c r="D281" s="48">
        <v>200323</v>
      </c>
      <c r="E281" s="49">
        <v>43913</v>
      </c>
      <c r="F281" s="31"/>
      <c r="G281" s="31"/>
    </row>
    <row r="282" spans="1:7" x14ac:dyDescent="0.35">
      <c r="A282" s="47">
        <v>1</v>
      </c>
      <c r="B282" s="48" t="s">
        <v>2044</v>
      </c>
      <c r="C282" s="48" t="s">
        <v>1970</v>
      </c>
      <c r="D282" s="48">
        <v>200323</v>
      </c>
      <c r="E282" s="49">
        <v>43913</v>
      </c>
      <c r="F282" s="31"/>
      <c r="G282" s="31"/>
    </row>
    <row r="283" spans="1:7" x14ac:dyDescent="0.35">
      <c r="A283" s="47">
        <v>1</v>
      </c>
      <c r="B283" s="48" t="s">
        <v>2046</v>
      </c>
      <c r="C283" s="48" t="s">
        <v>1970</v>
      </c>
      <c r="D283" s="48">
        <v>200323</v>
      </c>
      <c r="E283" s="49">
        <v>43913</v>
      </c>
      <c r="F283" s="31"/>
      <c r="G283" s="31"/>
    </row>
    <row r="284" spans="1:7" x14ac:dyDescent="0.35">
      <c r="A284" s="47">
        <v>1</v>
      </c>
      <c r="B284" s="48" t="s">
        <v>2067</v>
      </c>
      <c r="C284" s="48" t="s">
        <v>1970</v>
      </c>
      <c r="D284" s="48">
        <v>200323</v>
      </c>
      <c r="E284" s="49">
        <v>43913</v>
      </c>
      <c r="F284" s="31"/>
      <c r="G284" s="31"/>
    </row>
    <row r="285" spans="1:7" x14ac:dyDescent="0.35">
      <c r="A285" s="47">
        <v>1</v>
      </c>
      <c r="B285" s="48" t="s">
        <v>2074</v>
      </c>
      <c r="C285" s="48" t="s">
        <v>1970</v>
      </c>
      <c r="D285" s="48">
        <v>200323</v>
      </c>
      <c r="E285" s="49">
        <v>43913</v>
      </c>
      <c r="F285" s="31"/>
      <c r="G285" s="31"/>
    </row>
    <row r="286" spans="1:7" x14ac:dyDescent="0.35">
      <c r="A286" s="47">
        <v>1</v>
      </c>
      <c r="B286" s="48" t="s">
        <v>2119</v>
      </c>
      <c r="C286" s="48" t="s">
        <v>1970</v>
      </c>
      <c r="D286" s="48">
        <v>200323</v>
      </c>
      <c r="E286" s="49">
        <v>43913</v>
      </c>
      <c r="F286" s="31"/>
      <c r="G286" s="31"/>
    </row>
    <row r="287" spans="1:7" x14ac:dyDescent="0.35">
      <c r="A287" s="47">
        <v>1</v>
      </c>
      <c r="B287" s="48" t="s">
        <v>2120</v>
      </c>
      <c r="C287" s="48" t="s">
        <v>1970</v>
      </c>
      <c r="D287" s="48">
        <v>200323</v>
      </c>
      <c r="E287" s="49">
        <v>43913</v>
      </c>
      <c r="F287" s="31"/>
      <c r="G287" s="31"/>
    </row>
    <row r="288" spans="1:7" x14ac:dyDescent="0.35">
      <c r="A288" s="47">
        <v>1</v>
      </c>
      <c r="B288" s="48" t="s">
        <v>2123</v>
      </c>
      <c r="C288" s="48" t="s">
        <v>1970</v>
      </c>
      <c r="D288" s="48">
        <v>200323</v>
      </c>
      <c r="E288" s="49">
        <v>43913</v>
      </c>
      <c r="F288" s="31"/>
      <c r="G288" s="31"/>
    </row>
    <row r="289" spans="1:7" x14ac:dyDescent="0.35">
      <c r="A289" s="47">
        <v>1</v>
      </c>
      <c r="B289" s="48" t="s">
        <v>2142</v>
      </c>
      <c r="C289" s="48" t="s">
        <v>1970</v>
      </c>
      <c r="D289" s="48">
        <v>200323</v>
      </c>
      <c r="E289" s="49">
        <v>43913</v>
      </c>
      <c r="F289" s="31"/>
      <c r="G289" s="31"/>
    </row>
    <row r="290" spans="1:7" x14ac:dyDescent="0.35">
      <c r="A290" s="47">
        <v>1</v>
      </c>
      <c r="B290" s="48" t="s">
        <v>2146</v>
      </c>
      <c r="C290" s="48" t="s">
        <v>1970</v>
      </c>
      <c r="D290" s="48">
        <v>200323</v>
      </c>
      <c r="E290" s="49">
        <v>43913</v>
      </c>
      <c r="F290" s="31"/>
      <c r="G290" s="31"/>
    </row>
    <row r="291" spans="1:7" x14ac:dyDescent="0.35">
      <c r="A291" s="47">
        <v>1</v>
      </c>
      <c r="B291" s="48" t="s">
        <v>2079</v>
      </c>
      <c r="C291" s="48" t="s">
        <v>1976</v>
      </c>
      <c r="D291" s="48">
        <v>200323</v>
      </c>
      <c r="E291" s="49">
        <v>43913</v>
      </c>
      <c r="F291" s="31"/>
      <c r="G291" s="31"/>
    </row>
    <row r="292" spans="1:7" x14ac:dyDescent="0.35">
      <c r="A292" s="47">
        <v>1</v>
      </c>
      <c r="B292" s="48" t="s">
        <v>2167</v>
      </c>
      <c r="C292" s="48" t="s">
        <v>1968</v>
      </c>
      <c r="D292" s="48">
        <v>200406</v>
      </c>
      <c r="E292" s="49">
        <v>43927</v>
      </c>
      <c r="F292" s="31"/>
      <c r="G292" s="31"/>
    </row>
    <row r="293" spans="1:7" x14ac:dyDescent="0.35">
      <c r="A293" s="47">
        <v>1</v>
      </c>
      <c r="B293" s="48" t="s">
        <v>2168</v>
      </c>
      <c r="C293" s="48" t="s">
        <v>1968</v>
      </c>
      <c r="D293" s="48">
        <v>200406</v>
      </c>
      <c r="E293" s="49">
        <v>43927</v>
      </c>
      <c r="F293" s="31"/>
      <c r="G293" s="31"/>
    </row>
    <row r="294" spans="1:7" x14ac:dyDescent="0.35">
      <c r="A294" s="47">
        <v>1</v>
      </c>
      <c r="B294" s="48" t="s">
        <v>2169</v>
      </c>
      <c r="C294" s="48" t="s">
        <v>1968</v>
      </c>
      <c r="D294" s="48">
        <v>200406</v>
      </c>
      <c r="E294" s="49">
        <v>43927</v>
      </c>
      <c r="F294" s="31"/>
      <c r="G294" s="31"/>
    </row>
    <row r="295" spans="1:7" x14ac:dyDescent="0.35">
      <c r="A295" s="47">
        <v>1</v>
      </c>
      <c r="B295" s="48" t="s">
        <v>2170</v>
      </c>
      <c r="C295" s="48" t="s">
        <v>1968</v>
      </c>
      <c r="D295" s="48">
        <v>200406</v>
      </c>
      <c r="E295" s="49">
        <v>43927</v>
      </c>
      <c r="F295" s="31"/>
      <c r="G295" s="31"/>
    </row>
    <row r="296" spans="1:7" x14ac:dyDescent="0.35">
      <c r="A296" s="47">
        <v>1</v>
      </c>
      <c r="B296" s="48" t="s">
        <v>2032</v>
      </c>
      <c r="C296" s="48" t="s">
        <v>1970</v>
      </c>
      <c r="D296" s="48">
        <v>200406</v>
      </c>
      <c r="E296" s="49">
        <v>43927</v>
      </c>
      <c r="F296" s="31"/>
      <c r="G296" s="31"/>
    </row>
    <row r="297" spans="1:7" x14ac:dyDescent="0.35">
      <c r="A297" s="47">
        <v>1</v>
      </c>
      <c r="B297" s="48" t="s">
        <v>2159</v>
      </c>
      <c r="C297" s="48" t="s">
        <v>1975</v>
      </c>
      <c r="D297" s="48">
        <v>200406</v>
      </c>
      <c r="E297" s="49">
        <v>43927</v>
      </c>
      <c r="F297" s="31"/>
      <c r="G297" s="31"/>
    </row>
    <row r="298" spans="1:7" x14ac:dyDescent="0.35">
      <c r="A298" s="47">
        <v>1</v>
      </c>
      <c r="B298" s="48" t="s">
        <v>2171</v>
      </c>
      <c r="C298" s="48" t="s">
        <v>1968</v>
      </c>
      <c r="D298" s="48">
        <v>200423</v>
      </c>
      <c r="E298" s="49">
        <v>43944</v>
      </c>
      <c r="F298" s="31"/>
      <c r="G298" s="31"/>
    </row>
    <row r="299" spans="1:7" x14ac:dyDescent="0.35">
      <c r="A299" s="47">
        <v>1</v>
      </c>
      <c r="B299" s="48" t="s">
        <v>2172</v>
      </c>
      <c r="C299" s="48" t="s">
        <v>1968</v>
      </c>
      <c r="D299" s="48">
        <v>200423</v>
      </c>
      <c r="E299" s="49">
        <v>43944</v>
      </c>
      <c r="F299" s="31"/>
      <c r="G299" s="31"/>
    </row>
    <row r="300" spans="1:7" x14ac:dyDescent="0.35">
      <c r="A300" s="47">
        <v>1</v>
      </c>
      <c r="B300" s="48" t="s">
        <v>2173</v>
      </c>
      <c r="C300" s="48" t="s">
        <v>1968</v>
      </c>
      <c r="D300" s="48">
        <v>200423</v>
      </c>
      <c r="E300" s="49">
        <v>43944</v>
      </c>
      <c r="F300" s="31"/>
      <c r="G300" s="31"/>
    </row>
    <row r="301" spans="1:7" x14ac:dyDescent="0.35">
      <c r="A301" s="47">
        <v>1</v>
      </c>
      <c r="B301" s="48" t="s">
        <v>2174</v>
      </c>
      <c r="C301" s="48" t="s">
        <v>1968</v>
      </c>
      <c r="D301" s="48">
        <v>200423</v>
      </c>
      <c r="E301" s="49">
        <v>43944</v>
      </c>
      <c r="F301" s="31"/>
      <c r="G301" s="31"/>
    </row>
    <row r="302" spans="1:7" x14ac:dyDescent="0.35">
      <c r="A302" s="47">
        <v>1</v>
      </c>
      <c r="B302" s="48" t="s">
        <v>2175</v>
      </c>
      <c r="C302" s="48" t="s">
        <v>1970</v>
      </c>
      <c r="D302" s="48">
        <v>200423</v>
      </c>
      <c r="E302" s="49">
        <v>43944</v>
      </c>
      <c r="F302" s="31"/>
      <c r="G302" s="31"/>
    </row>
    <row r="303" spans="1:7" x14ac:dyDescent="0.35">
      <c r="A303" s="47">
        <v>1</v>
      </c>
      <c r="B303" s="48" t="s">
        <v>2176</v>
      </c>
      <c r="C303" s="48" t="s">
        <v>1970</v>
      </c>
      <c r="D303" s="48">
        <v>200423</v>
      </c>
      <c r="E303" s="49">
        <v>43944</v>
      </c>
      <c r="F303" s="31"/>
      <c r="G303" s="31"/>
    </row>
    <row r="304" spans="1:7" x14ac:dyDescent="0.35">
      <c r="A304" s="47">
        <v>1</v>
      </c>
      <c r="B304" s="48" t="s">
        <v>2177</v>
      </c>
      <c r="C304" s="48" t="s">
        <v>1970</v>
      </c>
      <c r="D304" s="48">
        <v>200423</v>
      </c>
      <c r="E304" s="49">
        <v>43944</v>
      </c>
      <c r="F304" s="31"/>
      <c r="G304" s="31"/>
    </row>
    <row r="305" spans="1:7" x14ac:dyDescent="0.35">
      <c r="A305" s="47">
        <v>1</v>
      </c>
      <c r="B305" s="48" t="s">
        <v>2038</v>
      </c>
      <c r="C305" s="48" t="s">
        <v>1970</v>
      </c>
      <c r="D305" s="48">
        <v>200423</v>
      </c>
      <c r="E305" s="49">
        <v>43944</v>
      </c>
      <c r="F305" s="31"/>
      <c r="G305" s="31"/>
    </row>
    <row r="306" spans="1:7" x14ac:dyDescent="0.35">
      <c r="A306" s="47">
        <v>1</v>
      </c>
      <c r="B306" s="48" t="s">
        <v>2051</v>
      </c>
      <c r="C306" s="48" t="s">
        <v>1970</v>
      </c>
      <c r="D306" s="48">
        <v>200423</v>
      </c>
      <c r="E306" s="49">
        <v>43944</v>
      </c>
      <c r="F306" s="31"/>
      <c r="G306" s="31"/>
    </row>
    <row r="307" spans="1:7" x14ac:dyDescent="0.35">
      <c r="A307" s="47">
        <v>1</v>
      </c>
      <c r="B307" s="48" t="s">
        <v>2106</v>
      </c>
      <c r="C307" s="48" t="s">
        <v>1970</v>
      </c>
      <c r="D307" s="48">
        <v>200423</v>
      </c>
      <c r="E307" s="49">
        <v>43944</v>
      </c>
      <c r="F307" s="31"/>
      <c r="G307" s="31"/>
    </row>
    <row r="308" spans="1:7" x14ac:dyDescent="0.35">
      <c r="A308" s="47">
        <v>1</v>
      </c>
      <c r="B308" s="48" t="s">
        <v>2108</v>
      </c>
      <c r="C308" s="48" t="s">
        <v>1970</v>
      </c>
      <c r="D308" s="48">
        <v>200423</v>
      </c>
      <c r="E308" s="49">
        <v>43944</v>
      </c>
      <c r="F308" s="31"/>
      <c r="G308" s="31"/>
    </row>
    <row r="309" spans="1:7" x14ac:dyDescent="0.35">
      <c r="A309" s="47">
        <v>1</v>
      </c>
      <c r="B309" s="48" t="s">
        <v>2118</v>
      </c>
      <c r="C309" s="48" t="s">
        <v>1970</v>
      </c>
      <c r="D309" s="48">
        <v>200423</v>
      </c>
      <c r="E309" s="49">
        <v>43944</v>
      </c>
      <c r="F309" s="31"/>
      <c r="G309" s="31"/>
    </row>
    <row r="310" spans="1:7" x14ac:dyDescent="0.35">
      <c r="A310" s="47">
        <v>1</v>
      </c>
      <c r="B310" s="48" t="s">
        <v>2144</v>
      </c>
      <c r="C310" s="48" t="s">
        <v>1970</v>
      </c>
      <c r="D310" s="48">
        <v>200423</v>
      </c>
      <c r="E310" s="49">
        <v>43944</v>
      </c>
      <c r="F310" s="31"/>
      <c r="G310" s="31"/>
    </row>
    <row r="311" spans="1:7" x14ac:dyDescent="0.35">
      <c r="A311" s="47">
        <v>1</v>
      </c>
      <c r="B311" s="48" t="s">
        <v>2145</v>
      </c>
      <c r="C311" s="48" t="s">
        <v>1970</v>
      </c>
      <c r="D311" s="48">
        <v>200423</v>
      </c>
      <c r="E311" s="49">
        <v>43944</v>
      </c>
      <c r="F311" s="31"/>
      <c r="G311" s="31"/>
    </row>
    <row r="312" spans="1:7" x14ac:dyDescent="0.35">
      <c r="A312" s="47">
        <v>1</v>
      </c>
      <c r="B312" s="48" t="s">
        <v>2153</v>
      </c>
      <c r="C312" s="48" t="s">
        <v>1970</v>
      </c>
      <c r="D312" s="48">
        <v>200423</v>
      </c>
      <c r="E312" s="49">
        <v>43944</v>
      </c>
      <c r="F312" s="31"/>
      <c r="G312" s="31"/>
    </row>
    <row r="313" spans="1:7" x14ac:dyDescent="0.35">
      <c r="A313" s="47">
        <v>1</v>
      </c>
      <c r="B313" s="48" t="s">
        <v>2154</v>
      </c>
      <c r="C313" s="48" t="s">
        <v>1970</v>
      </c>
      <c r="D313" s="48">
        <v>200423</v>
      </c>
      <c r="E313" s="49">
        <v>43944</v>
      </c>
      <c r="F313" s="31"/>
      <c r="G313" s="31"/>
    </row>
    <row r="314" spans="1:7" x14ac:dyDescent="0.35">
      <c r="A314" s="47">
        <v>1</v>
      </c>
      <c r="B314" s="48" t="s">
        <v>2161</v>
      </c>
      <c r="C314" s="48" t="s">
        <v>1970</v>
      </c>
      <c r="D314" s="48">
        <v>200423</v>
      </c>
      <c r="E314" s="49">
        <v>43944</v>
      </c>
      <c r="F314" s="31"/>
      <c r="G314" s="31"/>
    </row>
    <row r="315" spans="1:7" x14ac:dyDescent="0.35">
      <c r="A315" s="47">
        <v>1</v>
      </c>
      <c r="B315" s="48" t="s">
        <v>2170</v>
      </c>
      <c r="C315" s="48" t="s">
        <v>1970</v>
      </c>
      <c r="D315" s="48">
        <v>200423</v>
      </c>
      <c r="E315" s="49">
        <v>43944</v>
      </c>
      <c r="F315" s="31"/>
      <c r="G315" s="31"/>
    </row>
    <row r="316" spans="1:7" x14ac:dyDescent="0.35">
      <c r="A316" s="47">
        <v>1</v>
      </c>
      <c r="B316" s="48" t="s">
        <v>2178</v>
      </c>
      <c r="C316" s="48" t="s">
        <v>1975</v>
      </c>
      <c r="D316" s="48">
        <v>200423</v>
      </c>
      <c r="E316" s="49">
        <v>43944</v>
      </c>
      <c r="F316" s="31"/>
      <c r="G316" s="31"/>
    </row>
    <row r="317" spans="1:7" x14ac:dyDescent="0.35">
      <c r="A317" s="47">
        <v>1</v>
      </c>
      <c r="B317" s="48" t="s">
        <v>2179</v>
      </c>
      <c r="C317" s="48" t="s">
        <v>1968</v>
      </c>
      <c r="D317" s="48">
        <v>200504</v>
      </c>
      <c r="E317" s="49">
        <v>43955</v>
      </c>
      <c r="F317" s="31"/>
      <c r="G317" s="31"/>
    </row>
    <row r="318" spans="1:7" x14ac:dyDescent="0.35">
      <c r="A318" s="47">
        <v>1</v>
      </c>
      <c r="B318" s="48" t="s">
        <v>2180</v>
      </c>
      <c r="C318" s="48" t="s">
        <v>1968</v>
      </c>
      <c r="D318" s="48">
        <v>200504</v>
      </c>
      <c r="E318" s="49">
        <v>43955</v>
      </c>
      <c r="F318" s="31"/>
      <c r="G318" s="31"/>
    </row>
    <row r="319" spans="1:7" x14ac:dyDescent="0.35">
      <c r="A319" s="47">
        <v>1</v>
      </c>
      <c r="B319" s="48" t="s">
        <v>2181</v>
      </c>
      <c r="C319" s="48" t="s">
        <v>1968</v>
      </c>
      <c r="D319" s="48">
        <v>200504</v>
      </c>
      <c r="E319" s="49">
        <v>43955</v>
      </c>
      <c r="F319" s="31"/>
      <c r="G319" s="31"/>
    </row>
    <row r="320" spans="1:7" x14ac:dyDescent="0.35">
      <c r="A320" s="47">
        <v>1</v>
      </c>
      <c r="B320" s="48" t="s">
        <v>2182</v>
      </c>
      <c r="C320" s="48" t="s">
        <v>1968</v>
      </c>
      <c r="D320" s="48">
        <v>200504</v>
      </c>
      <c r="E320" s="49">
        <v>43955</v>
      </c>
      <c r="F320" s="31"/>
      <c r="G320" s="31"/>
    </row>
    <row r="321" spans="1:7" x14ac:dyDescent="0.35">
      <c r="A321" s="47">
        <v>1</v>
      </c>
      <c r="B321" s="48" t="s">
        <v>2183</v>
      </c>
      <c r="C321" s="48" t="s">
        <v>1968</v>
      </c>
      <c r="D321" s="48">
        <v>200504</v>
      </c>
      <c r="E321" s="49">
        <v>43955</v>
      </c>
      <c r="F321" s="31"/>
      <c r="G321" s="31"/>
    </row>
    <row r="322" spans="1:7" x14ac:dyDescent="0.35">
      <c r="A322" s="47">
        <v>1</v>
      </c>
      <c r="B322" s="48" t="s">
        <v>2184</v>
      </c>
      <c r="C322" s="48" t="s">
        <v>1968</v>
      </c>
      <c r="D322" s="48">
        <v>200504</v>
      </c>
      <c r="E322" s="49">
        <v>43955</v>
      </c>
      <c r="F322" s="31"/>
      <c r="G322" s="31"/>
    </row>
    <row r="323" spans="1:7" x14ac:dyDescent="0.35">
      <c r="A323" s="47">
        <v>1</v>
      </c>
      <c r="B323" s="48" t="s">
        <v>2185</v>
      </c>
      <c r="C323" s="48" t="s">
        <v>1968</v>
      </c>
      <c r="D323" s="48">
        <v>200504</v>
      </c>
      <c r="E323" s="49">
        <v>43955</v>
      </c>
      <c r="F323" s="31"/>
      <c r="G323" s="31"/>
    </row>
    <row r="324" spans="1:7" x14ac:dyDescent="0.35">
      <c r="A324" s="47">
        <v>1</v>
      </c>
      <c r="B324" s="48" t="s">
        <v>2186</v>
      </c>
      <c r="C324" s="48" t="s">
        <v>1968</v>
      </c>
      <c r="D324" s="48">
        <v>200504</v>
      </c>
      <c r="E324" s="49">
        <v>43955</v>
      </c>
      <c r="F324" s="31"/>
      <c r="G324" s="31"/>
    </row>
    <row r="325" spans="1:7" x14ac:dyDescent="0.35">
      <c r="A325" s="47">
        <v>1</v>
      </c>
      <c r="B325" s="48" t="s">
        <v>2187</v>
      </c>
      <c r="C325" s="48" t="s">
        <v>1968</v>
      </c>
      <c r="D325" s="48">
        <v>200504</v>
      </c>
      <c r="E325" s="49">
        <v>43955</v>
      </c>
      <c r="F325" s="31"/>
      <c r="G325" s="31"/>
    </row>
    <row r="326" spans="1:7" x14ac:dyDescent="0.35">
      <c r="A326" s="47">
        <v>1</v>
      </c>
      <c r="B326" s="48" t="s">
        <v>2188</v>
      </c>
      <c r="C326" s="48" t="s">
        <v>1968</v>
      </c>
      <c r="D326" s="48">
        <v>200504</v>
      </c>
      <c r="E326" s="49">
        <v>43955</v>
      </c>
      <c r="F326" s="31"/>
      <c r="G326" s="31"/>
    </row>
    <row r="327" spans="1:7" x14ac:dyDescent="0.35">
      <c r="A327" s="47">
        <v>1</v>
      </c>
      <c r="B327" s="48" t="s">
        <v>2189</v>
      </c>
      <c r="C327" s="48" t="s">
        <v>1968</v>
      </c>
      <c r="D327" s="48">
        <v>200504</v>
      </c>
      <c r="E327" s="49">
        <v>43955</v>
      </c>
      <c r="F327" s="31"/>
      <c r="G327" s="31"/>
    </row>
    <row r="328" spans="1:7" x14ac:dyDescent="0.35">
      <c r="A328" s="47">
        <v>1</v>
      </c>
      <c r="B328" s="48" t="s">
        <v>2190</v>
      </c>
      <c r="C328" s="48" t="s">
        <v>1968</v>
      </c>
      <c r="D328" s="48">
        <v>200504</v>
      </c>
      <c r="E328" s="49">
        <v>43955</v>
      </c>
      <c r="F328" s="31"/>
      <c r="G328" s="31"/>
    </row>
    <row r="329" spans="1:7" x14ac:dyDescent="0.35">
      <c r="A329" s="47">
        <v>1</v>
      </c>
      <c r="B329" s="48" t="s">
        <v>1984</v>
      </c>
      <c r="C329" s="48" t="s">
        <v>1970</v>
      </c>
      <c r="D329" s="48">
        <v>200504</v>
      </c>
      <c r="E329" s="49">
        <v>43955</v>
      </c>
      <c r="F329" s="31"/>
      <c r="G329" s="31"/>
    </row>
    <row r="330" spans="1:7" x14ac:dyDescent="0.35">
      <c r="A330" s="47">
        <v>1</v>
      </c>
      <c r="B330" s="48" t="s">
        <v>2087</v>
      </c>
      <c r="C330" s="48" t="s">
        <v>1970</v>
      </c>
      <c r="D330" s="48">
        <v>200504</v>
      </c>
      <c r="E330" s="49">
        <v>43955</v>
      </c>
      <c r="F330" s="31"/>
      <c r="G330" s="31"/>
    </row>
    <row r="331" spans="1:7" x14ac:dyDescent="0.35">
      <c r="A331" s="47">
        <v>1</v>
      </c>
      <c r="B331" s="48" t="s">
        <v>2092</v>
      </c>
      <c r="C331" s="48" t="s">
        <v>1970</v>
      </c>
      <c r="D331" s="48">
        <v>200504</v>
      </c>
      <c r="E331" s="49">
        <v>43955</v>
      </c>
      <c r="F331" s="31"/>
      <c r="G331" s="31"/>
    </row>
    <row r="332" spans="1:7" x14ac:dyDescent="0.35">
      <c r="A332" s="47">
        <v>1</v>
      </c>
      <c r="B332" s="48" t="s">
        <v>2098</v>
      </c>
      <c r="C332" s="48" t="s">
        <v>1974</v>
      </c>
      <c r="D332" s="48">
        <v>200504</v>
      </c>
      <c r="E332" s="49">
        <v>43955</v>
      </c>
      <c r="F332" s="31"/>
      <c r="G332" s="31"/>
    </row>
    <row r="333" spans="1:7" x14ac:dyDescent="0.35">
      <c r="A333" s="47">
        <v>1</v>
      </c>
      <c r="B333" s="48" t="s">
        <v>2147</v>
      </c>
      <c r="C333" s="48" t="s">
        <v>1975</v>
      </c>
      <c r="D333" s="48">
        <v>200504</v>
      </c>
      <c r="E333" s="49">
        <v>43955</v>
      </c>
      <c r="F333" s="31"/>
      <c r="G333" s="31"/>
    </row>
    <row r="334" spans="1:7" x14ac:dyDescent="0.35">
      <c r="A334" s="47">
        <v>1</v>
      </c>
      <c r="B334" s="48" t="s">
        <v>2171</v>
      </c>
      <c r="C334" s="48" t="s">
        <v>1975</v>
      </c>
      <c r="D334" s="48">
        <v>200504</v>
      </c>
      <c r="E334" s="49">
        <v>43955</v>
      </c>
      <c r="F334" s="31"/>
      <c r="G334" s="31"/>
    </row>
    <row r="335" spans="1:7" x14ac:dyDescent="0.35">
      <c r="A335" s="47">
        <v>1</v>
      </c>
      <c r="B335" s="48" t="s">
        <v>2173</v>
      </c>
      <c r="C335" s="48" t="s">
        <v>1975</v>
      </c>
      <c r="D335" s="48">
        <v>200504</v>
      </c>
      <c r="E335" s="49">
        <v>43955</v>
      </c>
      <c r="F335" s="31"/>
      <c r="G335" s="31"/>
    </row>
    <row r="336" spans="1:7" x14ac:dyDescent="0.35">
      <c r="A336" s="47">
        <v>1</v>
      </c>
      <c r="B336" s="48" t="s">
        <v>2191</v>
      </c>
      <c r="C336" s="48" t="s">
        <v>1976</v>
      </c>
      <c r="D336" s="48">
        <v>200504</v>
      </c>
      <c r="E336" s="49">
        <v>43955</v>
      </c>
      <c r="F336" s="31"/>
      <c r="G336" s="31"/>
    </row>
    <row r="337" spans="1:7" x14ac:dyDescent="0.35">
      <c r="A337" s="47">
        <v>1</v>
      </c>
      <c r="B337" s="48" t="s">
        <v>2152</v>
      </c>
      <c r="C337" s="48" t="s">
        <v>1976</v>
      </c>
      <c r="D337" s="48">
        <v>200504</v>
      </c>
      <c r="E337" s="49">
        <v>43955</v>
      </c>
      <c r="F337" s="31"/>
      <c r="G337" s="31"/>
    </row>
    <row r="338" spans="1:7" x14ac:dyDescent="0.35">
      <c r="A338" s="47">
        <v>1</v>
      </c>
      <c r="B338" s="48" t="s">
        <v>2039</v>
      </c>
      <c r="C338" s="48" t="s">
        <v>1976</v>
      </c>
      <c r="D338" s="48">
        <v>200504</v>
      </c>
      <c r="E338" s="49">
        <v>43955</v>
      </c>
      <c r="F338" s="31"/>
      <c r="G338" s="31"/>
    </row>
    <row r="339" spans="1:7" x14ac:dyDescent="0.35">
      <c r="A339" s="47">
        <v>1</v>
      </c>
      <c r="B339" s="48" t="s">
        <v>2058</v>
      </c>
      <c r="C339" s="48" t="s">
        <v>1976</v>
      </c>
      <c r="D339" s="48">
        <v>200504</v>
      </c>
      <c r="E339" s="49">
        <v>43955</v>
      </c>
      <c r="F339" s="31"/>
      <c r="G339" s="31"/>
    </row>
    <row r="340" spans="1:7" x14ac:dyDescent="0.35">
      <c r="A340" s="47">
        <v>1</v>
      </c>
      <c r="B340" s="48" t="s">
        <v>2063</v>
      </c>
      <c r="C340" s="48" t="s">
        <v>1976</v>
      </c>
      <c r="D340" s="48">
        <v>200504</v>
      </c>
      <c r="E340" s="49">
        <v>43955</v>
      </c>
      <c r="F340" s="31"/>
      <c r="G340" s="31"/>
    </row>
    <row r="341" spans="1:7" x14ac:dyDescent="0.35">
      <c r="A341" s="47">
        <v>1</v>
      </c>
      <c r="B341" s="48" t="s">
        <v>2072</v>
      </c>
      <c r="C341" s="48" t="s">
        <v>1976</v>
      </c>
      <c r="D341" s="48">
        <v>200504</v>
      </c>
      <c r="E341" s="49">
        <v>43955</v>
      </c>
      <c r="F341" s="31"/>
      <c r="G341" s="31"/>
    </row>
    <row r="342" spans="1:7" x14ac:dyDescent="0.35">
      <c r="A342" s="47">
        <v>1</v>
      </c>
      <c r="B342" s="48" t="s">
        <v>2075</v>
      </c>
      <c r="C342" s="48" t="s">
        <v>1976</v>
      </c>
      <c r="D342" s="48">
        <v>200504</v>
      </c>
      <c r="E342" s="49">
        <v>43955</v>
      </c>
      <c r="F342" s="31"/>
      <c r="G342" s="31"/>
    </row>
    <row r="343" spans="1:7" x14ac:dyDescent="0.35">
      <c r="A343" s="47">
        <v>1</v>
      </c>
      <c r="B343" s="48" t="s">
        <v>2076</v>
      </c>
      <c r="C343" s="48" t="s">
        <v>1976</v>
      </c>
      <c r="D343" s="48">
        <v>200504</v>
      </c>
      <c r="E343" s="49">
        <v>43955</v>
      </c>
      <c r="F343" s="31"/>
      <c r="G343" s="31"/>
    </row>
    <row r="344" spans="1:7" x14ac:dyDescent="0.35">
      <c r="A344" s="47">
        <v>1</v>
      </c>
      <c r="B344" s="48" t="s">
        <v>2088</v>
      </c>
      <c r="C344" s="48" t="s">
        <v>1976</v>
      </c>
      <c r="D344" s="48">
        <v>200504</v>
      </c>
      <c r="E344" s="49">
        <v>43955</v>
      </c>
      <c r="F344" s="31"/>
      <c r="G344" s="31"/>
    </row>
    <row r="345" spans="1:7" x14ac:dyDescent="0.35">
      <c r="A345" s="47">
        <v>1</v>
      </c>
      <c r="B345" s="48" t="s">
        <v>2095</v>
      </c>
      <c r="C345" s="48" t="s">
        <v>1976</v>
      </c>
      <c r="D345" s="48">
        <v>200504</v>
      </c>
      <c r="E345" s="49">
        <v>43955</v>
      </c>
      <c r="F345" s="31"/>
      <c r="G345" s="31"/>
    </row>
    <row r="346" spans="1:7" x14ac:dyDescent="0.35">
      <c r="A346" s="47">
        <v>1</v>
      </c>
      <c r="B346" s="48" t="s">
        <v>2097</v>
      </c>
      <c r="C346" s="48" t="s">
        <v>1976</v>
      </c>
      <c r="D346" s="48">
        <v>200504</v>
      </c>
      <c r="E346" s="49">
        <v>43955</v>
      </c>
      <c r="F346" s="31"/>
      <c r="G346" s="31"/>
    </row>
    <row r="347" spans="1:7" x14ac:dyDescent="0.35">
      <c r="A347" s="47">
        <v>1</v>
      </c>
      <c r="B347" s="48" t="s">
        <v>2099</v>
      </c>
      <c r="C347" s="48" t="s">
        <v>1976</v>
      </c>
      <c r="D347" s="48">
        <v>200504</v>
      </c>
      <c r="E347" s="49">
        <v>43955</v>
      </c>
      <c r="F347" s="31"/>
      <c r="G347" s="31"/>
    </row>
    <row r="348" spans="1:7" x14ac:dyDescent="0.35">
      <c r="A348" s="47">
        <v>1</v>
      </c>
      <c r="B348" s="48" t="s">
        <v>2102</v>
      </c>
      <c r="C348" s="48" t="s">
        <v>1976</v>
      </c>
      <c r="D348" s="48">
        <v>200504</v>
      </c>
      <c r="E348" s="49">
        <v>43955</v>
      </c>
      <c r="F348" s="31"/>
      <c r="G348" s="31"/>
    </row>
    <row r="349" spans="1:7" x14ac:dyDescent="0.35">
      <c r="A349" s="47">
        <v>1</v>
      </c>
      <c r="B349" s="48" t="s">
        <v>2109</v>
      </c>
      <c r="C349" s="48" t="s">
        <v>1976</v>
      </c>
      <c r="D349" s="48">
        <v>200504</v>
      </c>
      <c r="E349" s="49">
        <v>43955</v>
      </c>
      <c r="F349" s="31"/>
      <c r="G349" s="31"/>
    </row>
    <row r="350" spans="1:7" x14ac:dyDescent="0.35">
      <c r="A350" s="47">
        <v>1</v>
      </c>
      <c r="B350" s="48" t="s">
        <v>2110</v>
      </c>
      <c r="C350" s="48" t="s">
        <v>1976</v>
      </c>
      <c r="D350" s="48">
        <v>200504</v>
      </c>
      <c r="E350" s="49">
        <v>43955</v>
      </c>
      <c r="F350" s="31"/>
      <c r="G350" s="31"/>
    </row>
    <row r="351" spans="1:7" x14ac:dyDescent="0.35">
      <c r="A351" s="47">
        <v>1</v>
      </c>
      <c r="B351" s="48" t="s">
        <v>2111</v>
      </c>
      <c r="C351" s="48" t="s">
        <v>1976</v>
      </c>
      <c r="D351" s="48">
        <v>200504</v>
      </c>
      <c r="E351" s="49">
        <v>43955</v>
      </c>
      <c r="F351" s="31"/>
      <c r="G351" s="31"/>
    </row>
    <row r="352" spans="1:7" x14ac:dyDescent="0.35">
      <c r="A352" s="47">
        <v>1</v>
      </c>
      <c r="B352" s="48" t="s">
        <v>2143</v>
      </c>
      <c r="C352" s="48" t="s">
        <v>1976</v>
      </c>
      <c r="D352" s="48">
        <v>200504</v>
      </c>
      <c r="E352" s="49">
        <v>43955</v>
      </c>
      <c r="F352" s="31"/>
      <c r="G352" s="31"/>
    </row>
    <row r="353" spans="1:7" x14ac:dyDescent="0.35">
      <c r="A353" s="47">
        <v>1</v>
      </c>
      <c r="B353" s="48" t="s">
        <v>2148</v>
      </c>
      <c r="C353" s="48" t="s">
        <v>1976</v>
      </c>
      <c r="D353" s="48">
        <v>200504</v>
      </c>
      <c r="E353" s="49">
        <v>43955</v>
      </c>
      <c r="F353" s="31"/>
      <c r="G353" s="31"/>
    </row>
    <row r="354" spans="1:7" x14ac:dyDescent="0.35">
      <c r="A354" s="47">
        <v>1</v>
      </c>
      <c r="B354" s="48" t="s">
        <v>2155</v>
      </c>
      <c r="C354" s="48" t="s">
        <v>1976</v>
      </c>
      <c r="D354" s="48">
        <v>200504</v>
      </c>
      <c r="E354" s="49">
        <v>43955</v>
      </c>
      <c r="F354" s="31"/>
      <c r="G354" s="31"/>
    </row>
    <row r="355" spans="1:7" x14ac:dyDescent="0.35">
      <c r="A355" s="47">
        <v>1</v>
      </c>
      <c r="B355" s="48" t="s">
        <v>2159</v>
      </c>
      <c r="C355" s="48" t="s">
        <v>1976</v>
      </c>
      <c r="D355" s="48">
        <v>200504</v>
      </c>
      <c r="E355" s="49">
        <v>43955</v>
      </c>
      <c r="F355" s="31"/>
      <c r="G355" s="31"/>
    </row>
    <row r="356" spans="1:7" x14ac:dyDescent="0.35">
      <c r="A356" s="47">
        <v>1</v>
      </c>
      <c r="B356" s="48" t="s">
        <v>2160</v>
      </c>
      <c r="C356" s="48" t="s">
        <v>1976</v>
      </c>
      <c r="D356" s="48">
        <v>200504</v>
      </c>
      <c r="E356" s="49">
        <v>43955</v>
      </c>
      <c r="F356" s="31"/>
      <c r="G356" s="31"/>
    </row>
    <row r="357" spans="1:7" x14ac:dyDescent="0.35">
      <c r="A357" s="47">
        <v>1</v>
      </c>
      <c r="B357" s="48" t="s">
        <v>2163</v>
      </c>
      <c r="C357" s="48" t="s">
        <v>1976</v>
      </c>
      <c r="D357" s="48">
        <v>200504</v>
      </c>
      <c r="E357" s="49">
        <v>43955</v>
      </c>
      <c r="F357" s="31"/>
      <c r="G357" s="31"/>
    </row>
    <row r="358" spans="1:7" x14ac:dyDescent="0.35">
      <c r="A358" s="47">
        <v>1</v>
      </c>
      <c r="B358" s="48" t="s">
        <v>2192</v>
      </c>
      <c r="C358" s="48" t="s">
        <v>1968</v>
      </c>
      <c r="D358" s="48">
        <v>200518</v>
      </c>
      <c r="E358" s="49">
        <v>43969</v>
      </c>
      <c r="F358" s="31"/>
      <c r="G358" s="31"/>
    </row>
    <row r="359" spans="1:7" x14ac:dyDescent="0.35">
      <c r="A359" s="47">
        <v>1</v>
      </c>
      <c r="B359" s="48" t="s">
        <v>2193</v>
      </c>
      <c r="C359" s="48" t="s">
        <v>1968</v>
      </c>
      <c r="D359" s="48">
        <v>200518</v>
      </c>
      <c r="E359" s="49">
        <v>43969</v>
      </c>
      <c r="F359" s="31"/>
      <c r="G359" s="31"/>
    </row>
    <row r="360" spans="1:7" x14ac:dyDescent="0.35">
      <c r="A360" s="47">
        <v>1</v>
      </c>
      <c r="B360" s="48" t="s">
        <v>2194</v>
      </c>
      <c r="C360" s="48" t="s">
        <v>1968</v>
      </c>
      <c r="D360" s="48">
        <v>200518</v>
      </c>
      <c r="E360" s="49">
        <v>43969</v>
      </c>
      <c r="F360" s="31"/>
      <c r="G360" s="31"/>
    </row>
    <row r="361" spans="1:7" x14ac:dyDescent="0.35">
      <c r="A361" s="47">
        <v>1</v>
      </c>
      <c r="B361" s="48" t="s">
        <v>2121</v>
      </c>
      <c r="C361" s="48" t="s">
        <v>1970</v>
      </c>
      <c r="D361" s="48">
        <v>200518</v>
      </c>
      <c r="E361" s="49">
        <v>43969</v>
      </c>
      <c r="F361" s="31"/>
      <c r="G361" s="31"/>
    </row>
    <row r="362" spans="1:7" x14ac:dyDescent="0.35">
      <c r="A362" s="47">
        <v>1</v>
      </c>
      <c r="B362" s="48" t="s">
        <v>2180</v>
      </c>
      <c r="C362" s="48" t="s">
        <v>1975</v>
      </c>
      <c r="D362" s="48">
        <v>200518</v>
      </c>
      <c r="E362" s="49">
        <v>43969</v>
      </c>
      <c r="F362" s="31"/>
      <c r="G362" s="31"/>
    </row>
    <row r="363" spans="1:7" x14ac:dyDescent="0.35">
      <c r="A363" s="47">
        <v>1</v>
      </c>
      <c r="B363" s="48" t="s">
        <v>2195</v>
      </c>
      <c r="C363" s="48" t="s">
        <v>1968</v>
      </c>
      <c r="D363" s="48">
        <v>200528</v>
      </c>
      <c r="E363" s="49">
        <v>43979</v>
      </c>
      <c r="F363" s="31"/>
      <c r="G363" s="31"/>
    </row>
    <row r="364" spans="1:7" x14ac:dyDescent="0.35">
      <c r="A364" s="47">
        <v>1</v>
      </c>
      <c r="B364" s="48" t="s">
        <v>2196</v>
      </c>
      <c r="C364" s="48" t="s">
        <v>1968</v>
      </c>
      <c r="D364" s="48">
        <v>200528</v>
      </c>
      <c r="E364" s="49">
        <v>43979</v>
      </c>
      <c r="F364" s="31"/>
      <c r="G364" s="31"/>
    </row>
    <row r="365" spans="1:7" x14ac:dyDescent="0.35">
      <c r="A365" s="47">
        <v>1</v>
      </c>
      <c r="B365" s="48" t="s">
        <v>2197</v>
      </c>
      <c r="C365" s="48" t="s">
        <v>1968</v>
      </c>
      <c r="D365" s="48">
        <v>200528</v>
      </c>
      <c r="E365" s="49">
        <v>43979</v>
      </c>
      <c r="F365" s="31"/>
      <c r="G365" s="31"/>
    </row>
    <row r="366" spans="1:7" x14ac:dyDescent="0.35">
      <c r="A366" s="47">
        <v>1</v>
      </c>
      <c r="B366" s="48" t="s">
        <v>2198</v>
      </c>
      <c r="C366" s="48" t="s">
        <v>1968</v>
      </c>
      <c r="D366" s="48">
        <v>200528</v>
      </c>
      <c r="E366" s="49">
        <v>43979</v>
      </c>
      <c r="F366" s="31"/>
      <c r="G366" s="31"/>
    </row>
    <row r="367" spans="1:7" x14ac:dyDescent="0.35">
      <c r="A367" s="47">
        <v>1</v>
      </c>
      <c r="B367" s="48" t="s">
        <v>2199</v>
      </c>
      <c r="C367" s="48" t="s">
        <v>1968</v>
      </c>
      <c r="D367" s="48">
        <v>200528</v>
      </c>
      <c r="E367" s="49">
        <v>43979</v>
      </c>
      <c r="F367" s="31"/>
      <c r="G367" s="31"/>
    </row>
    <row r="368" spans="1:7" x14ac:dyDescent="0.35">
      <c r="A368" s="47">
        <v>1</v>
      </c>
      <c r="B368" s="48" t="s">
        <v>2200</v>
      </c>
      <c r="C368" s="48" t="s">
        <v>1968</v>
      </c>
      <c r="D368" s="48">
        <v>200528</v>
      </c>
      <c r="E368" s="49">
        <v>43979</v>
      </c>
      <c r="F368" s="31"/>
      <c r="G368" s="31"/>
    </row>
    <row r="369" spans="1:7" x14ac:dyDescent="0.35">
      <c r="A369" s="47">
        <v>1</v>
      </c>
      <c r="B369" s="48" t="s">
        <v>2201</v>
      </c>
      <c r="C369" s="48" t="s">
        <v>1968</v>
      </c>
      <c r="D369" s="48">
        <v>200528</v>
      </c>
      <c r="E369" s="49">
        <v>43979</v>
      </c>
      <c r="F369" s="31"/>
      <c r="G369" s="31"/>
    </row>
    <row r="370" spans="1:7" x14ac:dyDescent="0.35">
      <c r="A370" s="47">
        <v>1</v>
      </c>
      <c r="B370" s="48" t="s">
        <v>2202</v>
      </c>
      <c r="C370" s="48" t="s">
        <v>1968</v>
      </c>
      <c r="D370" s="48">
        <v>200528</v>
      </c>
      <c r="E370" s="49">
        <v>43979</v>
      </c>
      <c r="F370" s="31"/>
      <c r="G370" s="31"/>
    </row>
    <row r="371" spans="1:7" x14ac:dyDescent="0.35">
      <c r="A371" s="47">
        <v>1</v>
      </c>
      <c r="B371" s="48" t="s">
        <v>2203</v>
      </c>
      <c r="C371" s="48" t="s">
        <v>1968</v>
      </c>
      <c r="D371" s="48">
        <v>200528</v>
      </c>
      <c r="E371" s="49">
        <v>43979</v>
      </c>
      <c r="F371" s="31"/>
      <c r="G371" s="31"/>
    </row>
    <row r="372" spans="1:7" x14ac:dyDescent="0.35">
      <c r="A372" s="47">
        <v>1</v>
      </c>
      <c r="B372" s="48" t="s">
        <v>2204</v>
      </c>
      <c r="C372" s="48" t="s">
        <v>1968</v>
      </c>
      <c r="D372" s="48">
        <v>200528</v>
      </c>
      <c r="E372" s="49">
        <v>43979</v>
      </c>
      <c r="F372" s="31"/>
      <c r="G372" s="31"/>
    </row>
    <row r="373" spans="1:7" x14ac:dyDescent="0.35">
      <c r="A373" s="47">
        <v>1</v>
      </c>
      <c r="B373" s="48" t="s">
        <v>2205</v>
      </c>
      <c r="C373" s="48" t="s">
        <v>1968</v>
      </c>
      <c r="D373" s="48">
        <v>200528</v>
      </c>
      <c r="E373" s="49">
        <v>43979</v>
      </c>
      <c r="F373" s="31"/>
      <c r="G373" s="31"/>
    </row>
    <row r="374" spans="1:7" x14ac:dyDescent="0.35">
      <c r="A374" s="47">
        <v>1</v>
      </c>
      <c r="B374" s="170" t="s">
        <v>2206</v>
      </c>
      <c r="C374" s="48" t="s">
        <v>1970</v>
      </c>
      <c r="D374" s="48">
        <v>200528</v>
      </c>
      <c r="E374" s="49">
        <v>43979</v>
      </c>
      <c r="F374" s="31"/>
      <c r="G374" s="31"/>
    </row>
    <row r="375" spans="1:7" x14ac:dyDescent="0.35">
      <c r="A375" s="47">
        <v>1</v>
      </c>
      <c r="B375" s="48" t="s">
        <v>2152</v>
      </c>
      <c r="C375" s="48" t="s">
        <v>1970</v>
      </c>
      <c r="D375" s="48">
        <v>200528</v>
      </c>
      <c r="E375" s="49">
        <v>43979</v>
      </c>
      <c r="F375" s="31"/>
      <c r="G375" s="31"/>
    </row>
    <row r="376" spans="1:7" x14ac:dyDescent="0.35">
      <c r="A376" s="47">
        <v>1</v>
      </c>
      <c r="B376" s="48" t="s">
        <v>2042</v>
      </c>
      <c r="C376" s="48" t="s">
        <v>1970</v>
      </c>
      <c r="D376" s="48">
        <v>200528</v>
      </c>
      <c r="E376" s="49">
        <v>43979</v>
      </c>
      <c r="F376" s="31"/>
      <c r="G376" s="31"/>
    </row>
    <row r="377" spans="1:7" x14ac:dyDescent="0.35">
      <c r="A377" s="47">
        <v>1</v>
      </c>
      <c r="B377" s="48" t="s">
        <v>2073</v>
      </c>
      <c r="C377" s="48" t="s">
        <v>1970</v>
      </c>
      <c r="D377" s="48">
        <v>200528</v>
      </c>
      <c r="E377" s="49">
        <v>43979</v>
      </c>
      <c r="F377" s="31"/>
      <c r="G377" s="31"/>
    </row>
    <row r="378" spans="1:7" x14ac:dyDescent="0.35">
      <c r="A378" s="47">
        <v>1</v>
      </c>
      <c r="B378" s="48" t="s">
        <v>2112</v>
      </c>
      <c r="C378" s="48" t="s">
        <v>1970</v>
      </c>
      <c r="D378" s="48">
        <v>200528</v>
      </c>
      <c r="E378" s="49">
        <v>43979</v>
      </c>
      <c r="F378" s="31"/>
      <c r="G378" s="31"/>
    </row>
    <row r="379" spans="1:7" x14ac:dyDescent="0.35">
      <c r="A379" s="47">
        <v>1</v>
      </c>
      <c r="B379" s="48" t="s">
        <v>2155</v>
      </c>
      <c r="C379" s="48" t="s">
        <v>1970</v>
      </c>
      <c r="D379" s="48">
        <v>200528</v>
      </c>
      <c r="E379" s="49">
        <v>43979</v>
      </c>
      <c r="F379" s="31"/>
      <c r="G379" s="31"/>
    </row>
    <row r="380" spans="1:7" x14ac:dyDescent="0.35">
      <c r="A380" s="47">
        <v>1</v>
      </c>
      <c r="B380" s="48" t="s">
        <v>2160</v>
      </c>
      <c r="C380" s="48" t="s">
        <v>1970</v>
      </c>
      <c r="D380" s="48">
        <v>200528</v>
      </c>
      <c r="E380" s="49">
        <v>43979</v>
      </c>
      <c r="F380" s="31"/>
      <c r="G380" s="31"/>
    </row>
    <row r="381" spans="1:7" x14ac:dyDescent="0.35">
      <c r="A381" s="47">
        <v>1</v>
      </c>
      <c r="B381" s="48" t="s">
        <v>2163</v>
      </c>
      <c r="C381" s="48" t="s">
        <v>1970</v>
      </c>
      <c r="D381" s="48">
        <v>200528</v>
      </c>
      <c r="E381" s="49">
        <v>43979</v>
      </c>
      <c r="F381" s="31"/>
      <c r="G381" s="31"/>
    </row>
    <row r="382" spans="1:7" x14ac:dyDescent="0.35">
      <c r="A382" s="47">
        <v>1</v>
      </c>
      <c r="B382" s="48" t="s">
        <v>2182</v>
      </c>
      <c r="C382" s="48" t="s">
        <v>1970</v>
      </c>
      <c r="D382" s="48">
        <v>200528</v>
      </c>
      <c r="E382" s="49">
        <v>43979</v>
      </c>
      <c r="F382" s="31"/>
      <c r="G382" s="31"/>
    </row>
    <row r="383" spans="1:7" x14ac:dyDescent="0.35">
      <c r="A383" s="47">
        <v>1</v>
      </c>
      <c r="B383" s="48" t="s">
        <v>2185</v>
      </c>
      <c r="C383" s="48" t="s">
        <v>1970</v>
      </c>
      <c r="D383" s="48">
        <v>200528</v>
      </c>
      <c r="E383" s="49">
        <v>43979</v>
      </c>
      <c r="F383" s="31"/>
      <c r="G383" s="31"/>
    </row>
    <row r="384" spans="1:7" x14ac:dyDescent="0.35">
      <c r="A384" s="47">
        <v>1</v>
      </c>
      <c r="B384" s="48" t="s">
        <v>2186</v>
      </c>
      <c r="C384" s="48" t="s">
        <v>1970</v>
      </c>
      <c r="D384" s="48">
        <v>200528</v>
      </c>
      <c r="E384" s="49">
        <v>43979</v>
      </c>
      <c r="F384" s="31"/>
      <c r="G384" s="31"/>
    </row>
    <row r="385" spans="1:7" x14ac:dyDescent="0.35">
      <c r="A385" s="47">
        <v>1</v>
      </c>
      <c r="B385" s="48" t="s">
        <v>2187</v>
      </c>
      <c r="C385" s="48" t="s">
        <v>1970</v>
      </c>
      <c r="D385" s="48">
        <v>200528</v>
      </c>
      <c r="E385" s="49">
        <v>43979</v>
      </c>
      <c r="F385" s="31"/>
      <c r="G385" s="31"/>
    </row>
    <row r="386" spans="1:7" x14ac:dyDescent="0.35">
      <c r="A386" s="47">
        <v>1</v>
      </c>
      <c r="B386" s="48" t="s">
        <v>2075</v>
      </c>
      <c r="C386" s="48" t="s">
        <v>1975</v>
      </c>
      <c r="D386" s="48">
        <v>200528</v>
      </c>
      <c r="E386" s="49">
        <v>43979</v>
      </c>
      <c r="F386" s="31"/>
      <c r="G386" s="31"/>
    </row>
    <row r="387" spans="1:7" x14ac:dyDescent="0.35">
      <c r="A387" s="47">
        <v>1</v>
      </c>
      <c r="B387" s="48" t="s">
        <v>2207</v>
      </c>
      <c r="C387" s="48" t="s">
        <v>1968</v>
      </c>
      <c r="D387" s="48">
        <v>200608</v>
      </c>
      <c r="E387" s="49">
        <v>43990</v>
      </c>
      <c r="F387" s="31"/>
      <c r="G387" s="31"/>
    </row>
    <row r="388" spans="1:7" x14ac:dyDescent="0.35">
      <c r="A388" s="47">
        <v>1</v>
      </c>
      <c r="B388" s="48" t="s">
        <v>2208</v>
      </c>
      <c r="C388" s="48" t="s">
        <v>1968</v>
      </c>
      <c r="D388" s="48">
        <v>200608</v>
      </c>
      <c r="E388" s="49">
        <v>43990</v>
      </c>
      <c r="F388" s="31"/>
      <c r="G388" s="31"/>
    </row>
    <row r="389" spans="1:7" x14ac:dyDescent="0.35">
      <c r="A389" s="47">
        <v>1</v>
      </c>
      <c r="B389" s="48" t="s">
        <v>2209</v>
      </c>
      <c r="C389" s="48" t="s">
        <v>1968</v>
      </c>
      <c r="D389" s="48">
        <v>200608</v>
      </c>
      <c r="E389" s="49">
        <v>43990</v>
      </c>
      <c r="F389" s="31"/>
      <c r="G389" s="31"/>
    </row>
    <row r="390" spans="1:7" x14ac:dyDescent="0.35">
      <c r="A390" s="47">
        <v>1</v>
      </c>
      <c r="B390" s="48" t="s">
        <v>2147</v>
      </c>
      <c r="C390" s="48" t="s">
        <v>1970</v>
      </c>
      <c r="D390" s="48">
        <v>200608</v>
      </c>
      <c r="E390" s="49">
        <v>43990</v>
      </c>
      <c r="F390" s="31"/>
      <c r="G390" s="31"/>
    </row>
    <row r="391" spans="1:7" x14ac:dyDescent="0.35">
      <c r="A391" s="47">
        <v>1</v>
      </c>
      <c r="B391" s="48" t="s">
        <v>2164</v>
      </c>
      <c r="C391" s="48" t="s">
        <v>1970</v>
      </c>
      <c r="D391" s="48">
        <v>200608</v>
      </c>
      <c r="E391" s="49">
        <v>43990</v>
      </c>
      <c r="F391" s="31"/>
      <c r="G391" s="31"/>
    </row>
    <row r="392" spans="1:7" x14ac:dyDescent="0.35">
      <c r="A392" s="47">
        <v>1</v>
      </c>
      <c r="B392" s="48" t="s">
        <v>2210</v>
      </c>
      <c r="C392" s="48" t="s">
        <v>1968</v>
      </c>
      <c r="D392" s="48">
        <v>200624</v>
      </c>
      <c r="E392" s="49">
        <v>44006</v>
      </c>
      <c r="F392" s="31"/>
      <c r="G392" s="31"/>
    </row>
    <row r="393" spans="1:7" x14ac:dyDescent="0.35">
      <c r="A393" s="47">
        <v>1</v>
      </c>
      <c r="B393" s="48" t="s">
        <v>2211</v>
      </c>
      <c r="C393" s="48" t="s">
        <v>1968</v>
      </c>
      <c r="D393" s="48">
        <v>200624</v>
      </c>
      <c r="E393" s="49">
        <v>44006</v>
      </c>
      <c r="F393" s="31"/>
      <c r="G393" s="31"/>
    </row>
    <row r="394" spans="1:7" x14ac:dyDescent="0.35">
      <c r="A394" s="47">
        <v>1</v>
      </c>
      <c r="B394" s="48" t="s">
        <v>2212</v>
      </c>
      <c r="C394" s="48" t="s">
        <v>1968</v>
      </c>
      <c r="D394" s="48">
        <v>200624</v>
      </c>
      <c r="E394" s="49">
        <v>44006</v>
      </c>
      <c r="F394" s="31"/>
      <c r="G394" s="31"/>
    </row>
    <row r="395" spans="1:7" x14ac:dyDescent="0.35">
      <c r="A395" s="47">
        <v>1</v>
      </c>
      <c r="B395" s="48" t="s">
        <v>2213</v>
      </c>
      <c r="C395" s="48" t="s">
        <v>1968</v>
      </c>
      <c r="D395" s="48">
        <v>200624</v>
      </c>
      <c r="E395" s="49">
        <v>44006</v>
      </c>
      <c r="F395" s="31"/>
      <c r="G395" s="31"/>
    </row>
    <row r="396" spans="1:7" x14ac:dyDescent="0.35">
      <c r="A396" s="47">
        <v>1</v>
      </c>
      <c r="B396" s="48" t="s">
        <v>2214</v>
      </c>
      <c r="C396" s="48" t="s">
        <v>1968</v>
      </c>
      <c r="D396" s="48">
        <v>200624</v>
      </c>
      <c r="E396" s="49">
        <v>44006</v>
      </c>
      <c r="F396" s="31"/>
      <c r="G396" s="31"/>
    </row>
    <row r="397" spans="1:7" x14ac:dyDescent="0.35">
      <c r="A397" s="47">
        <v>1</v>
      </c>
      <c r="B397" s="48" t="s">
        <v>2215</v>
      </c>
      <c r="C397" s="48" t="s">
        <v>1968</v>
      </c>
      <c r="D397" s="48">
        <v>200624</v>
      </c>
      <c r="E397" s="49">
        <v>44006</v>
      </c>
      <c r="F397" s="31"/>
      <c r="G397" s="31"/>
    </row>
    <row r="398" spans="1:7" x14ac:dyDescent="0.35">
      <c r="A398" s="47">
        <v>1</v>
      </c>
      <c r="B398" s="48" t="s">
        <v>2216</v>
      </c>
      <c r="C398" s="48" t="s">
        <v>1968</v>
      </c>
      <c r="D398" s="48">
        <v>200624</v>
      </c>
      <c r="E398" s="49">
        <v>44006</v>
      </c>
      <c r="F398" s="31"/>
      <c r="G398" s="31"/>
    </row>
    <row r="399" spans="1:7" x14ac:dyDescent="0.35">
      <c r="A399" s="47">
        <v>1</v>
      </c>
      <c r="B399" s="48" t="s">
        <v>2217</v>
      </c>
      <c r="C399" s="48" t="s">
        <v>1968</v>
      </c>
      <c r="D399" s="48">
        <v>200624</v>
      </c>
      <c r="E399" s="49">
        <v>44006</v>
      </c>
      <c r="F399" s="31"/>
      <c r="G399" s="31"/>
    </row>
    <row r="400" spans="1:7" x14ac:dyDescent="0.35">
      <c r="A400" s="47">
        <v>1</v>
      </c>
      <c r="B400" s="48" t="s">
        <v>2218</v>
      </c>
      <c r="C400" s="48" t="s">
        <v>1968</v>
      </c>
      <c r="D400" s="48">
        <v>200624</v>
      </c>
      <c r="E400" s="49">
        <v>44006</v>
      </c>
      <c r="F400" s="31"/>
      <c r="G400" s="31"/>
    </row>
    <row r="401" spans="1:7" x14ac:dyDescent="0.35">
      <c r="A401" s="47">
        <v>1</v>
      </c>
      <c r="B401" s="48" t="s">
        <v>2219</v>
      </c>
      <c r="C401" s="48" t="s">
        <v>1968</v>
      </c>
      <c r="D401" s="48">
        <v>200624</v>
      </c>
      <c r="E401" s="49">
        <v>44006</v>
      </c>
      <c r="F401" s="31"/>
      <c r="G401" s="31"/>
    </row>
    <row r="402" spans="1:7" x14ac:dyDescent="0.35">
      <c r="A402" s="47">
        <v>1</v>
      </c>
      <c r="B402" s="48" t="s">
        <v>2151</v>
      </c>
      <c r="C402" s="48" t="s">
        <v>1970</v>
      </c>
      <c r="D402" s="48">
        <v>200624</v>
      </c>
      <c r="E402" s="49">
        <v>44006</v>
      </c>
      <c r="F402" s="31"/>
      <c r="G402" s="31"/>
    </row>
    <row r="403" spans="1:7" x14ac:dyDescent="0.35">
      <c r="A403" s="47">
        <v>1</v>
      </c>
      <c r="B403" s="48" t="s">
        <v>2197</v>
      </c>
      <c r="C403" s="48" t="s">
        <v>1970</v>
      </c>
      <c r="D403" s="48">
        <v>200624</v>
      </c>
      <c r="E403" s="49">
        <v>44006</v>
      </c>
      <c r="F403" s="31"/>
      <c r="G403" s="31"/>
    </row>
    <row r="404" spans="1:7" x14ac:dyDescent="0.35">
      <c r="A404" s="47">
        <v>1</v>
      </c>
      <c r="B404" s="48" t="s">
        <v>2201</v>
      </c>
      <c r="C404" s="48" t="s">
        <v>1970</v>
      </c>
      <c r="D404" s="48">
        <v>200624</v>
      </c>
      <c r="E404" s="49">
        <v>44006</v>
      </c>
      <c r="F404" s="31"/>
      <c r="G404" s="31"/>
    </row>
    <row r="405" spans="1:7" x14ac:dyDescent="0.35">
      <c r="A405" s="47">
        <v>1</v>
      </c>
      <c r="B405" s="48" t="s">
        <v>2061</v>
      </c>
      <c r="C405" s="48" t="s">
        <v>1974</v>
      </c>
      <c r="D405" s="48">
        <v>200624</v>
      </c>
      <c r="E405" s="49">
        <v>44006</v>
      </c>
      <c r="F405" s="31"/>
      <c r="G405" s="31"/>
    </row>
    <row r="406" spans="1:7" x14ac:dyDescent="0.35">
      <c r="A406" s="47">
        <v>1</v>
      </c>
      <c r="B406" s="48" t="s">
        <v>2209</v>
      </c>
      <c r="C406" s="48" t="s">
        <v>1975</v>
      </c>
      <c r="D406" s="48">
        <v>200624</v>
      </c>
      <c r="E406" s="49">
        <v>44006</v>
      </c>
      <c r="F406" s="31"/>
      <c r="G406" s="31"/>
    </row>
    <row r="407" spans="1:7" x14ac:dyDescent="0.35">
      <c r="A407" s="47">
        <v>1</v>
      </c>
      <c r="B407" s="48" t="s">
        <v>2026</v>
      </c>
      <c r="C407" s="48" t="s">
        <v>1976</v>
      </c>
      <c r="D407" s="48">
        <v>200624</v>
      </c>
      <c r="E407" s="49">
        <v>44006</v>
      </c>
      <c r="F407" s="31"/>
      <c r="G407" s="31"/>
    </row>
    <row r="408" spans="1:7" x14ac:dyDescent="0.35">
      <c r="A408" s="47">
        <v>1</v>
      </c>
      <c r="B408" s="48" t="s">
        <v>2168</v>
      </c>
      <c r="C408" s="48" t="s">
        <v>1976</v>
      </c>
      <c r="D408" s="48">
        <v>200624</v>
      </c>
      <c r="E408" s="49">
        <v>44006</v>
      </c>
      <c r="F408" s="31"/>
      <c r="G408" s="31"/>
    </row>
    <row r="409" spans="1:7" x14ac:dyDescent="0.35">
      <c r="A409" s="47">
        <v>1</v>
      </c>
      <c r="B409" s="48" t="s">
        <v>2179</v>
      </c>
      <c r="C409" s="48" t="s">
        <v>1976</v>
      </c>
      <c r="D409" s="48">
        <v>200624</v>
      </c>
      <c r="E409" s="49">
        <v>44006</v>
      </c>
      <c r="F409" s="31"/>
      <c r="G409" s="31"/>
    </row>
    <row r="410" spans="1:7" x14ac:dyDescent="0.35">
      <c r="A410" s="47">
        <v>1</v>
      </c>
      <c r="B410" s="48" t="s">
        <v>2183</v>
      </c>
      <c r="C410" s="48" t="s">
        <v>1976</v>
      </c>
      <c r="D410" s="48">
        <v>200624</v>
      </c>
      <c r="E410" s="49">
        <v>44006</v>
      </c>
      <c r="F410" s="31"/>
      <c r="G410" s="31"/>
    </row>
    <row r="411" spans="1:7" x14ac:dyDescent="0.35">
      <c r="A411" s="47">
        <v>1</v>
      </c>
      <c r="B411" s="48" t="s">
        <v>2189</v>
      </c>
      <c r="C411" s="48" t="s">
        <v>1976</v>
      </c>
      <c r="D411" s="48">
        <v>200624</v>
      </c>
      <c r="E411" s="49">
        <v>44006</v>
      </c>
      <c r="F411" s="31"/>
      <c r="G411" s="31"/>
    </row>
    <row r="412" spans="1:7" x14ac:dyDescent="0.35">
      <c r="A412" s="47">
        <v>1</v>
      </c>
      <c r="B412" s="48" t="s">
        <v>2220</v>
      </c>
      <c r="C412" s="48" t="s">
        <v>1968</v>
      </c>
      <c r="D412" s="48">
        <v>200706</v>
      </c>
      <c r="E412" s="49">
        <v>44018</v>
      </c>
      <c r="F412" s="31"/>
      <c r="G412" s="31"/>
    </row>
    <row r="413" spans="1:7" x14ac:dyDescent="0.35">
      <c r="A413" s="47">
        <v>1</v>
      </c>
      <c r="B413" s="48" t="s">
        <v>2221</v>
      </c>
      <c r="C413" s="48" t="s">
        <v>1968</v>
      </c>
      <c r="D413" s="48">
        <v>200706</v>
      </c>
      <c r="E413" s="49">
        <v>44018</v>
      </c>
      <c r="F413" s="31"/>
      <c r="G413" s="31"/>
    </row>
    <row r="414" spans="1:7" x14ac:dyDescent="0.35">
      <c r="A414" s="47">
        <v>1</v>
      </c>
      <c r="B414" s="48" t="s">
        <v>2222</v>
      </c>
      <c r="C414" s="48" t="s">
        <v>1968</v>
      </c>
      <c r="D414" s="48">
        <v>200706</v>
      </c>
      <c r="E414" s="49">
        <v>44018</v>
      </c>
      <c r="F414" s="31"/>
      <c r="G414" s="31"/>
    </row>
    <row r="415" spans="1:7" x14ac:dyDescent="0.35">
      <c r="A415" s="47">
        <v>1</v>
      </c>
      <c r="B415" s="48" t="s">
        <v>2223</v>
      </c>
      <c r="C415" s="48" t="s">
        <v>1968</v>
      </c>
      <c r="D415" s="48">
        <v>200706</v>
      </c>
      <c r="E415" s="49">
        <v>44018</v>
      </c>
      <c r="F415" s="31"/>
      <c r="G415" s="31"/>
    </row>
    <row r="416" spans="1:7" x14ac:dyDescent="0.35">
      <c r="A416" s="47">
        <v>1</v>
      </c>
      <c r="B416" s="48" t="s">
        <v>2193</v>
      </c>
      <c r="C416" s="48" t="s">
        <v>1976</v>
      </c>
      <c r="D416" s="48">
        <v>200706</v>
      </c>
      <c r="E416" s="49">
        <v>44018</v>
      </c>
      <c r="F416" s="31"/>
      <c r="G416" s="31"/>
    </row>
    <row r="417" spans="1:7" x14ac:dyDescent="0.35">
      <c r="A417" s="47">
        <v>1</v>
      </c>
      <c r="B417" s="48" t="s">
        <v>2224</v>
      </c>
      <c r="C417" s="48" t="s">
        <v>1976</v>
      </c>
      <c r="D417" s="48">
        <v>200706</v>
      </c>
      <c r="E417" s="49">
        <v>44018</v>
      </c>
      <c r="F417" s="31"/>
      <c r="G417" s="31"/>
    </row>
    <row r="418" spans="1:7" x14ac:dyDescent="0.35">
      <c r="A418" s="47">
        <v>1</v>
      </c>
      <c r="B418" s="48" t="s">
        <v>2225</v>
      </c>
      <c r="C418" s="48" t="s">
        <v>1968</v>
      </c>
      <c r="D418" s="48">
        <v>200720</v>
      </c>
      <c r="E418" s="49">
        <v>44032</v>
      </c>
      <c r="F418" s="31"/>
      <c r="G418" s="31"/>
    </row>
    <row r="419" spans="1:7" x14ac:dyDescent="0.35">
      <c r="A419" s="47">
        <v>1</v>
      </c>
      <c r="B419" s="48" t="s">
        <v>2226</v>
      </c>
      <c r="C419" s="48" t="s">
        <v>1968</v>
      </c>
      <c r="D419" s="48">
        <v>200720</v>
      </c>
      <c r="E419" s="49">
        <v>44032</v>
      </c>
      <c r="F419" s="31"/>
      <c r="G419" s="31"/>
    </row>
    <row r="420" spans="1:7" x14ac:dyDescent="0.35">
      <c r="A420" s="47">
        <v>1</v>
      </c>
      <c r="B420" s="48" t="s">
        <v>2227</v>
      </c>
      <c r="C420" s="48" t="s">
        <v>1968</v>
      </c>
      <c r="D420" s="48">
        <v>200720</v>
      </c>
      <c r="E420" s="49">
        <v>44032</v>
      </c>
      <c r="F420" s="31"/>
      <c r="G420" s="31"/>
    </row>
    <row r="421" spans="1:7" x14ac:dyDescent="0.35">
      <c r="A421" s="47">
        <v>1</v>
      </c>
      <c r="B421" s="48" t="s">
        <v>2228</v>
      </c>
      <c r="C421" s="48" t="s">
        <v>1968</v>
      </c>
      <c r="D421" s="48">
        <v>200720</v>
      </c>
      <c r="E421" s="49">
        <v>44032</v>
      </c>
      <c r="F421" s="31"/>
      <c r="G421" s="31"/>
    </row>
    <row r="422" spans="1:7" x14ac:dyDescent="0.35">
      <c r="A422" s="47">
        <v>1</v>
      </c>
      <c r="B422" s="48" t="s">
        <v>2229</v>
      </c>
      <c r="C422" s="48" t="s">
        <v>1968</v>
      </c>
      <c r="D422" s="48">
        <v>200720</v>
      </c>
      <c r="E422" s="49">
        <v>44032</v>
      </c>
      <c r="F422" s="31"/>
      <c r="G422" s="31"/>
    </row>
    <row r="423" spans="1:7" x14ac:dyDescent="0.35">
      <c r="A423" s="47">
        <v>1</v>
      </c>
      <c r="B423" s="48" t="s">
        <v>2230</v>
      </c>
      <c r="C423" s="48" t="s">
        <v>1968</v>
      </c>
      <c r="D423" s="48">
        <v>200720</v>
      </c>
      <c r="E423" s="49">
        <v>44032</v>
      </c>
      <c r="F423" s="31"/>
      <c r="G423" s="31"/>
    </row>
    <row r="424" spans="1:7" x14ac:dyDescent="0.35">
      <c r="A424" s="47">
        <v>1</v>
      </c>
      <c r="B424" s="48" t="s">
        <v>2231</v>
      </c>
      <c r="C424" s="48" t="s">
        <v>1968</v>
      </c>
      <c r="D424" s="48">
        <v>200720</v>
      </c>
      <c r="E424" s="49">
        <v>44032</v>
      </c>
      <c r="F424" s="31"/>
      <c r="G424" s="31"/>
    </row>
    <row r="425" spans="1:7" x14ac:dyDescent="0.35">
      <c r="A425" s="47">
        <v>1</v>
      </c>
      <c r="B425" s="48" t="s">
        <v>2223</v>
      </c>
      <c r="C425" s="48" t="s">
        <v>1970</v>
      </c>
      <c r="D425" s="48">
        <v>200720</v>
      </c>
      <c r="E425" s="49">
        <v>44032</v>
      </c>
      <c r="F425" s="31"/>
      <c r="G425" s="31"/>
    </row>
    <row r="426" spans="1:7" x14ac:dyDescent="0.35">
      <c r="A426" s="47">
        <v>1</v>
      </c>
      <c r="B426" s="48" t="s">
        <v>2232</v>
      </c>
      <c r="C426" s="48" t="s">
        <v>1968</v>
      </c>
      <c r="D426" s="48">
        <v>200806</v>
      </c>
      <c r="E426" s="49">
        <v>44049</v>
      </c>
      <c r="F426" s="31"/>
      <c r="G426" s="31"/>
    </row>
    <row r="427" spans="1:7" x14ac:dyDescent="0.35">
      <c r="A427" s="47">
        <v>1</v>
      </c>
      <c r="B427" s="48" t="s">
        <v>2233</v>
      </c>
      <c r="C427" s="48" t="s">
        <v>1968</v>
      </c>
      <c r="D427" s="48">
        <v>200806</v>
      </c>
      <c r="E427" s="49">
        <v>44049</v>
      </c>
      <c r="F427" s="31"/>
      <c r="G427" s="31"/>
    </row>
    <row r="428" spans="1:7" x14ac:dyDescent="0.35">
      <c r="A428" s="47">
        <v>1</v>
      </c>
      <c r="B428" s="48" t="s">
        <v>2234</v>
      </c>
      <c r="C428" s="48" t="s">
        <v>1968</v>
      </c>
      <c r="D428" s="48">
        <v>200806</v>
      </c>
      <c r="E428" s="49">
        <v>44049</v>
      </c>
      <c r="F428" s="31"/>
      <c r="G428" s="31"/>
    </row>
    <row r="429" spans="1:7" x14ac:dyDescent="0.35">
      <c r="A429" s="47">
        <v>1</v>
      </c>
      <c r="B429" s="48" t="s">
        <v>2235</v>
      </c>
      <c r="C429" s="48" t="s">
        <v>1968</v>
      </c>
      <c r="D429" s="48">
        <v>200806</v>
      </c>
      <c r="E429" s="49">
        <v>44049</v>
      </c>
      <c r="F429" s="31"/>
      <c r="G429" s="31"/>
    </row>
    <row r="430" spans="1:7" x14ac:dyDescent="0.35">
      <c r="A430" s="47">
        <v>1</v>
      </c>
      <c r="B430" s="48" t="s">
        <v>2236</v>
      </c>
      <c r="C430" s="48" t="s">
        <v>1968</v>
      </c>
      <c r="D430" s="48">
        <v>200806</v>
      </c>
      <c r="E430" s="49">
        <v>44049</v>
      </c>
      <c r="F430" s="31"/>
      <c r="G430" s="31"/>
    </row>
    <row r="431" spans="1:7" x14ac:dyDescent="0.35">
      <c r="A431" s="47">
        <v>1</v>
      </c>
      <c r="B431" s="48" t="s">
        <v>2237</v>
      </c>
      <c r="C431" s="48" t="s">
        <v>1968</v>
      </c>
      <c r="D431" s="48">
        <v>200806</v>
      </c>
      <c r="E431" s="49">
        <v>44049</v>
      </c>
      <c r="F431" s="31"/>
      <c r="G431" s="31"/>
    </row>
    <row r="432" spans="1:7" x14ac:dyDescent="0.35">
      <c r="A432" s="47">
        <v>1</v>
      </c>
      <c r="B432" s="48" t="s">
        <v>2238</v>
      </c>
      <c r="C432" s="48" t="s">
        <v>1968</v>
      </c>
      <c r="D432" s="48">
        <v>200806</v>
      </c>
      <c r="E432" s="49">
        <v>44049</v>
      </c>
      <c r="F432" s="31"/>
      <c r="G432" s="31"/>
    </row>
    <row r="433" spans="1:7" x14ac:dyDescent="0.35">
      <c r="A433" s="47">
        <v>1</v>
      </c>
      <c r="B433" s="48" t="s">
        <v>2239</v>
      </c>
      <c r="C433" s="48" t="s">
        <v>1968</v>
      </c>
      <c r="D433" s="48">
        <v>200806</v>
      </c>
      <c r="E433" s="49">
        <v>44049</v>
      </c>
      <c r="F433" s="31"/>
      <c r="G433" s="31"/>
    </row>
    <row r="434" spans="1:7" x14ac:dyDescent="0.35">
      <c r="A434" s="47">
        <v>1</v>
      </c>
      <c r="B434" s="48" t="s">
        <v>2240</v>
      </c>
      <c r="C434" s="48" t="s">
        <v>1968</v>
      </c>
      <c r="D434" s="48">
        <v>200806</v>
      </c>
      <c r="E434" s="49">
        <v>44049</v>
      </c>
      <c r="F434" s="31"/>
      <c r="G434" s="31"/>
    </row>
    <row r="435" spans="1:7" x14ac:dyDescent="0.35">
      <c r="A435" s="47">
        <v>1</v>
      </c>
      <c r="B435" s="48" t="s">
        <v>2241</v>
      </c>
      <c r="C435" s="48" t="s">
        <v>1968</v>
      </c>
      <c r="D435" s="48">
        <v>200806</v>
      </c>
      <c r="E435" s="49">
        <v>44049</v>
      </c>
      <c r="F435" s="31"/>
      <c r="G435" s="31"/>
    </row>
    <row r="436" spans="1:7" x14ac:dyDescent="0.35">
      <c r="A436" s="47">
        <v>1</v>
      </c>
      <c r="B436" s="48" t="s">
        <v>2242</v>
      </c>
      <c r="C436" s="48" t="s">
        <v>1968</v>
      </c>
      <c r="D436" s="48">
        <v>200806</v>
      </c>
      <c r="E436" s="49">
        <v>44049</v>
      </c>
      <c r="F436" s="31"/>
      <c r="G436" s="31"/>
    </row>
    <row r="437" spans="1:7" x14ac:dyDescent="0.35">
      <c r="A437" s="47">
        <v>1</v>
      </c>
      <c r="B437" s="48" t="s">
        <v>2191</v>
      </c>
      <c r="C437" s="48" t="s">
        <v>1970</v>
      </c>
      <c r="D437" s="48">
        <v>200806</v>
      </c>
      <c r="E437" s="49">
        <v>44049</v>
      </c>
      <c r="F437" s="31"/>
      <c r="G437" s="31"/>
    </row>
    <row r="438" spans="1:7" x14ac:dyDescent="0.35">
      <c r="A438" s="47">
        <v>1</v>
      </c>
      <c r="B438" s="48" t="s">
        <v>2039</v>
      </c>
      <c r="C438" s="48" t="s">
        <v>1970</v>
      </c>
      <c r="D438" s="48">
        <v>200806</v>
      </c>
      <c r="E438" s="49">
        <v>44049</v>
      </c>
      <c r="F438" s="31"/>
      <c r="G438" s="31"/>
    </row>
    <row r="439" spans="1:7" x14ac:dyDescent="0.35">
      <c r="A439" s="47">
        <v>1</v>
      </c>
      <c r="B439" s="48" t="s">
        <v>2063</v>
      </c>
      <c r="C439" s="48" t="s">
        <v>1970</v>
      </c>
      <c r="D439" s="48">
        <v>200806</v>
      </c>
      <c r="E439" s="49">
        <v>44049</v>
      </c>
      <c r="F439" s="31"/>
      <c r="G439" s="31"/>
    </row>
    <row r="440" spans="1:7" x14ac:dyDescent="0.35">
      <c r="A440" s="47">
        <v>1</v>
      </c>
      <c r="B440" s="48" t="s">
        <v>2072</v>
      </c>
      <c r="C440" s="48" t="s">
        <v>1970</v>
      </c>
      <c r="D440" s="48">
        <v>200806</v>
      </c>
      <c r="E440" s="49">
        <v>44049</v>
      </c>
      <c r="F440" s="31"/>
      <c r="G440" s="31"/>
    </row>
    <row r="441" spans="1:7" x14ac:dyDescent="0.35">
      <c r="A441" s="47">
        <v>1</v>
      </c>
      <c r="B441" s="48" t="s">
        <v>2075</v>
      </c>
      <c r="C441" s="48" t="s">
        <v>1970</v>
      </c>
      <c r="D441" s="48">
        <v>200806</v>
      </c>
      <c r="E441" s="49">
        <v>44049</v>
      </c>
      <c r="F441" s="31"/>
      <c r="G441" s="31"/>
    </row>
    <row r="442" spans="1:7" x14ac:dyDescent="0.35">
      <c r="A442" s="47">
        <v>1</v>
      </c>
      <c r="B442" s="48" t="s">
        <v>2076</v>
      </c>
      <c r="C442" s="48" t="s">
        <v>1970</v>
      </c>
      <c r="D442" s="48">
        <v>200806</v>
      </c>
      <c r="E442" s="49">
        <v>44049</v>
      </c>
      <c r="F442" s="31"/>
      <c r="G442" s="31"/>
    </row>
    <row r="443" spans="1:7" x14ac:dyDescent="0.35">
      <c r="A443" s="47">
        <v>1</v>
      </c>
      <c r="B443" s="48" t="s">
        <v>2088</v>
      </c>
      <c r="C443" s="48" t="s">
        <v>1970</v>
      </c>
      <c r="D443" s="48">
        <v>200806</v>
      </c>
      <c r="E443" s="49">
        <v>44049</v>
      </c>
      <c r="F443" s="31"/>
      <c r="G443" s="31"/>
    </row>
    <row r="444" spans="1:7" x14ac:dyDescent="0.35">
      <c r="A444" s="47">
        <v>1</v>
      </c>
      <c r="B444" s="48" t="s">
        <v>2095</v>
      </c>
      <c r="C444" s="48" t="s">
        <v>1970</v>
      </c>
      <c r="D444" s="48">
        <v>200806</v>
      </c>
      <c r="E444" s="49">
        <v>44049</v>
      </c>
      <c r="F444" s="31"/>
      <c r="G444" s="31"/>
    </row>
    <row r="445" spans="1:7" x14ac:dyDescent="0.35">
      <c r="A445" s="47">
        <v>1</v>
      </c>
      <c r="B445" s="48" t="s">
        <v>2097</v>
      </c>
      <c r="C445" s="48" t="s">
        <v>1970</v>
      </c>
      <c r="D445" s="48">
        <v>200806</v>
      </c>
      <c r="E445" s="49">
        <v>44049</v>
      </c>
      <c r="F445" s="31"/>
      <c r="G445" s="31"/>
    </row>
    <row r="446" spans="1:7" x14ac:dyDescent="0.35">
      <c r="A446" s="47">
        <v>1</v>
      </c>
      <c r="B446" s="48" t="s">
        <v>2099</v>
      </c>
      <c r="C446" s="48" t="s">
        <v>1970</v>
      </c>
      <c r="D446" s="48">
        <v>200806</v>
      </c>
      <c r="E446" s="49">
        <v>44049</v>
      </c>
      <c r="F446" s="31"/>
      <c r="G446" s="31"/>
    </row>
    <row r="447" spans="1:7" x14ac:dyDescent="0.35">
      <c r="A447" s="47">
        <v>1</v>
      </c>
      <c r="B447" s="48" t="s">
        <v>2102</v>
      </c>
      <c r="C447" s="48" t="s">
        <v>1970</v>
      </c>
      <c r="D447" s="48">
        <v>200806</v>
      </c>
      <c r="E447" s="49">
        <v>44049</v>
      </c>
      <c r="F447" s="31"/>
      <c r="G447" s="31"/>
    </row>
    <row r="448" spans="1:7" x14ac:dyDescent="0.35">
      <c r="A448" s="47">
        <v>1</v>
      </c>
      <c r="B448" s="48" t="s">
        <v>2109</v>
      </c>
      <c r="C448" s="48" t="s">
        <v>1970</v>
      </c>
      <c r="D448" s="48">
        <v>200806</v>
      </c>
      <c r="E448" s="49">
        <v>44049</v>
      </c>
      <c r="F448" s="31"/>
      <c r="G448" s="31"/>
    </row>
    <row r="449" spans="1:7" x14ac:dyDescent="0.35">
      <c r="A449" s="47">
        <v>1</v>
      </c>
      <c r="B449" s="48" t="s">
        <v>2110</v>
      </c>
      <c r="C449" s="48" t="s">
        <v>1970</v>
      </c>
      <c r="D449" s="48">
        <v>200806</v>
      </c>
      <c r="E449" s="49">
        <v>44049</v>
      </c>
      <c r="F449" s="31"/>
      <c r="G449" s="31"/>
    </row>
    <row r="450" spans="1:7" x14ac:dyDescent="0.35">
      <c r="A450" s="47">
        <v>1</v>
      </c>
      <c r="B450" s="48" t="s">
        <v>2111</v>
      </c>
      <c r="C450" s="48" t="s">
        <v>1970</v>
      </c>
      <c r="D450" s="48">
        <v>200806</v>
      </c>
      <c r="E450" s="49">
        <v>44049</v>
      </c>
      <c r="F450" s="31"/>
      <c r="G450" s="31"/>
    </row>
    <row r="451" spans="1:7" x14ac:dyDescent="0.35">
      <c r="A451" s="47">
        <v>1</v>
      </c>
      <c r="B451" s="48" t="s">
        <v>2143</v>
      </c>
      <c r="C451" s="48" t="s">
        <v>1970</v>
      </c>
      <c r="D451" s="48">
        <v>200806</v>
      </c>
      <c r="E451" s="49">
        <v>44049</v>
      </c>
      <c r="F451" s="31"/>
      <c r="G451" s="31"/>
    </row>
    <row r="452" spans="1:7" x14ac:dyDescent="0.35">
      <c r="A452" s="47">
        <v>1</v>
      </c>
      <c r="B452" s="48" t="s">
        <v>2148</v>
      </c>
      <c r="C452" s="48" t="s">
        <v>1970</v>
      </c>
      <c r="D452" s="48">
        <v>200806</v>
      </c>
      <c r="E452" s="49">
        <v>44049</v>
      </c>
      <c r="F452" s="31"/>
      <c r="G452" s="31"/>
    </row>
    <row r="453" spans="1:7" x14ac:dyDescent="0.35">
      <c r="A453" s="47">
        <v>1</v>
      </c>
      <c r="B453" s="48" t="s">
        <v>2168</v>
      </c>
      <c r="C453" s="48" t="s">
        <v>1970</v>
      </c>
      <c r="D453" s="48">
        <v>200806</v>
      </c>
      <c r="E453" s="49">
        <v>44049</v>
      </c>
      <c r="F453" s="31"/>
      <c r="G453" s="31"/>
    </row>
    <row r="454" spans="1:7" x14ac:dyDescent="0.35">
      <c r="A454" s="47">
        <v>1</v>
      </c>
      <c r="B454" s="48" t="s">
        <v>2179</v>
      </c>
      <c r="C454" s="48" t="s">
        <v>1970</v>
      </c>
      <c r="D454" s="48">
        <v>200806</v>
      </c>
      <c r="E454" s="49">
        <v>44049</v>
      </c>
      <c r="F454" s="31"/>
      <c r="G454" s="31"/>
    </row>
    <row r="455" spans="1:7" x14ac:dyDescent="0.35">
      <c r="A455" s="47">
        <v>1</v>
      </c>
      <c r="B455" s="48" t="s">
        <v>2183</v>
      </c>
      <c r="C455" s="48" t="s">
        <v>1970</v>
      </c>
      <c r="D455" s="48">
        <v>200806</v>
      </c>
      <c r="E455" s="49">
        <v>44049</v>
      </c>
      <c r="F455" s="31"/>
      <c r="G455" s="31"/>
    </row>
    <row r="456" spans="1:7" x14ac:dyDescent="0.35">
      <c r="A456" s="47">
        <v>1</v>
      </c>
      <c r="B456" s="48" t="s">
        <v>2184</v>
      </c>
      <c r="C456" s="48" t="s">
        <v>1970</v>
      </c>
      <c r="D456" s="48">
        <v>200806</v>
      </c>
      <c r="E456" s="49">
        <v>44049</v>
      </c>
      <c r="F456" s="31"/>
      <c r="G456" s="31"/>
    </row>
    <row r="457" spans="1:7" x14ac:dyDescent="0.35">
      <c r="A457" s="47">
        <v>1</v>
      </c>
      <c r="B457" s="48" t="s">
        <v>2189</v>
      </c>
      <c r="C457" s="48" t="s">
        <v>1970</v>
      </c>
      <c r="D457" s="48">
        <v>200806</v>
      </c>
      <c r="E457" s="49">
        <v>44049</v>
      </c>
      <c r="F457" s="31"/>
      <c r="G457" s="31"/>
    </row>
    <row r="458" spans="1:7" x14ac:dyDescent="0.35">
      <c r="A458" s="47">
        <v>1</v>
      </c>
      <c r="B458" s="48" t="s">
        <v>2193</v>
      </c>
      <c r="C458" s="48" t="s">
        <v>1970</v>
      </c>
      <c r="D458" s="48">
        <v>200806</v>
      </c>
      <c r="E458" s="49">
        <v>44049</v>
      </c>
      <c r="F458" s="31"/>
      <c r="G458" s="31"/>
    </row>
    <row r="459" spans="1:7" x14ac:dyDescent="0.35">
      <c r="A459" s="47">
        <v>1</v>
      </c>
      <c r="B459" s="48" t="s">
        <v>2198</v>
      </c>
      <c r="C459" s="48" t="s">
        <v>1970</v>
      </c>
      <c r="D459" s="48">
        <v>200806</v>
      </c>
      <c r="E459" s="49">
        <v>44049</v>
      </c>
      <c r="F459" s="31"/>
      <c r="G459" s="31"/>
    </row>
    <row r="460" spans="1:7" x14ac:dyDescent="0.35">
      <c r="A460" s="47">
        <v>1</v>
      </c>
      <c r="B460" s="48" t="s">
        <v>2200</v>
      </c>
      <c r="C460" s="48" t="s">
        <v>1970</v>
      </c>
      <c r="D460" s="48">
        <v>200806</v>
      </c>
      <c r="E460" s="49">
        <v>44049</v>
      </c>
      <c r="F460" s="31"/>
      <c r="G460" s="31"/>
    </row>
    <row r="461" spans="1:7" x14ac:dyDescent="0.35">
      <c r="A461" s="47">
        <v>1</v>
      </c>
      <c r="B461" s="48" t="s">
        <v>2211</v>
      </c>
      <c r="C461" s="48" t="s">
        <v>1970</v>
      </c>
      <c r="D461" s="48">
        <v>200806</v>
      </c>
      <c r="E461" s="49">
        <v>44049</v>
      </c>
      <c r="F461" s="31"/>
      <c r="G461" s="31"/>
    </row>
    <row r="462" spans="1:7" x14ac:dyDescent="0.35">
      <c r="A462" s="47">
        <v>1</v>
      </c>
      <c r="B462" s="48" t="s">
        <v>2213</v>
      </c>
      <c r="C462" s="48" t="s">
        <v>1970</v>
      </c>
      <c r="D462" s="48">
        <v>200806</v>
      </c>
      <c r="E462" s="49">
        <v>44049</v>
      </c>
      <c r="F462" s="31"/>
      <c r="G462" s="31"/>
    </row>
    <row r="463" spans="1:7" x14ac:dyDescent="0.35">
      <c r="A463" s="47">
        <v>1</v>
      </c>
      <c r="B463" s="48" t="s">
        <v>2214</v>
      </c>
      <c r="C463" s="48" t="s">
        <v>1970</v>
      </c>
      <c r="D463" s="48">
        <v>200806</v>
      </c>
      <c r="E463" s="49">
        <v>44049</v>
      </c>
      <c r="F463" s="31"/>
      <c r="G463" s="31"/>
    </row>
    <row r="464" spans="1:7" x14ac:dyDescent="0.35">
      <c r="A464" s="47">
        <v>1</v>
      </c>
      <c r="B464" s="48" t="s">
        <v>2216</v>
      </c>
      <c r="C464" s="48" t="s">
        <v>1970</v>
      </c>
      <c r="D464" s="48">
        <v>200806</v>
      </c>
      <c r="E464" s="49">
        <v>44049</v>
      </c>
      <c r="F464" s="31"/>
      <c r="G464" s="31"/>
    </row>
    <row r="465" spans="1:7" x14ac:dyDescent="0.35">
      <c r="A465" s="47">
        <v>1</v>
      </c>
      <c r="B465" s="48" t="s">
        <v>2219</v>
      </c>
      <c r="C465" s="48" t="s">
        <v>1970</v>
      </c>
      <c r="D465" s="48">
        <v>200806</v>
      </c>
      <c r="E465" s="49">
        <v>44049</v>
      </c>
      <c r="F465" s="31"/>
      <c r="G465" s="31"/>
    </row>
    <row r="466" spans="1:7" x14ac:dyDescent="0.35">
      <c r="A466" s="47">
        <v>1</v>
      </c>
      <c r="B466" s="48" t="s">
        <v>2229</v>
      </c>
      <c r="C466" s="48" t="s">
        <v>1970</v>
      </c>
      <c r="D466" s="48">
        <v>200806</v>
      </c>
      <c r="E466" s="49">
        <v>44049</v>
      </c>
      <c r="F466" s="31"/>
      <c r="G466" s="31"/>
    </row>
    <row r="467" spans="1:7" x14ac:dyDescent="0.35">
      <c r="A467" s="47">
        <v>1</v>
      </c>
      <c r="B467" s="48" t="s">
        <v>2231</v>
      </c>
      <c r="C467" s="48" t="s">
        <v>1975</v>
      </c>
      <c r="D467" s="48">
        <v>200806</v>
      </c>
      <c r="E467" s="49">
        <v>44049</v>
      </c>
      <c r="F467" s="31"/>
      <c r="G467" s="31"/>
    </row>
    <row r="468" spans="1:7" x14ac:dyDescent="0.35">
      <c r="A468" s="47">
        <v>1</v>
      </c>
      <c r="B468" s="48" t="s">
        <v>2035</v>
      </c>
      <c r="C468" s="48" t="s">
        <v>1976</v>
      </c>
      <c r="D468" s="48">
        <v>200806</v>
      </c>
      <c r="E468" s="49">
        <v>44049</v>
      </c>
      <c r="F468" s="31"/>
      <c r="G468" s="31"/>
    </row>
    <row r="469" spans="1:7" x14ac:dyDescent="0.35">
      <c r="A469" s="47">
        <v>1</v>
      </c>
      <c r="B469" s="48" t="s">
        <v>2058</v>
      </c>
      <c r="C469" s="48" t="s">
        <v>1976</v>
      </c>
      <c r="D469" s="48">
        <v>200806</v>
      </c>
      <c r="E469" s="49">
        <v>44049</v>
      </c>
      <c r="F469" s="31"/>
      <c r="G469" s="31"/>
    </row>
    <row r="470" spans="1:7" x14ac:dyDescent="0.35">
      <c r="A470" s="47">
        <v>1</v>
      </c>
      <c r="B470" s="48" t="s">
        <v>2115</v>
      </c>
      <c r="C470" s="48" t="s">
        <v>1976</v>
      </c>
      <c r="D470" s="48">
        <v>200806</v>
      </c>
      <c r="E470" s="49">
        <v>44049</v>
      </c>
      <c r="F470" s="31"/>
      <c r="G470" s="31"/>
    </row>
    <row r="471" spans="1:7" x14ac:dyDescent="0.35">
      <c r="A471" s="47">
        <v>1</v>
      </c>
      <c r="B471" s="48" t="s">
        <v>2159</v>
      </c>
      <c r="C471" s="48" t="s">
        <v>1976</v>
      </c>
      <c r="D471" s="48">
        <v>200806</v>
      </c>
      <c r="E471" s="49">
        <v>44049</v>
      </c>
      <c r="F471" s="31"/>
      <c r="G471" s="31"/>
    </row>
    <row r="472" spans="1:7" x14ac:dyDescent="0.35">
      <c r="A472" s="47">
        <v>1</v>
      </c>
      <c r="B472" s="48" t="s">
        <v>2167</v>
      </c>
      <c r="C472" s="48" t="s">
        <v>1976</v>
      </c>
      <c r="D472" s="48">
        <v>200806</v>
      </c>
      <c r="E472" s="49">
        <v>44049</v>
      </c>
      <c r="F472" s="31"/>
      <c r="G472" s="31"/>
    </row>
    <row r="473" spans="1:7" x14ac:dyDescent="0.35">
      <c r="A473" s="47">
        <v>1</v>
      </c>
      <c r="B473" s="48" t="s">
        <v>2169</v>
      </c>
      <c r="C473" s="48" t="s">
        <v>1976</v>
      </c>
      <c r="D473" s="48">
        <v>200806</v>
      </c>
      <c r="E473" s="49">
        <v>44049</v>
      </c>
      <c r="F473" s="31"/>
      <c r="G473" s="31"/>
    </row>
    <row r="474" spans="1:7" x14ac:dyDescent="0.35">
      <c r="A474" s="47">
        <v>1</v>
      </c>
      <c r="B474" s="48" t="s">
        <v>2184</v>
      </c>
      <c r="C474" s="48" t="s">
        <v>1976</v>
      </c>
      <c r="D474" s="48">
        <v>200806</v>
      </c>
      <c r="E474" s="49">
        <v>44049</v>
      </c>
      <c r="F474" s="31"/>
      <c r="G474" s="31"/>
    </row>
    <row r="475" spans="1:7" x14ac:dyDescent="0.35">
      <c r="A475" s="47">
        <v>1</v>
      </c>
      <c r="B475" s="48" t="s">
        <v>2188</v>
      </c>
      <c r="C475" s="48" t="s">
        <v>1976</v>
      </c>
      <c r="D475" s="48">
        <v>200806</v>
      </c>
      <c r="E475" s="49">
        <v>44049</v>
      </c>
      <c r="F475" s="31"/>
      <c r="G475" s="31"/>
    </row>
    <row r="476" spans="1:7" x14ac:dyDescent="0.35">
      <c r="A476" s="47">
        <v>1</v>
      </c>
      <c r="B476" s="48" t="s">
        <v>2224</v>
      </c>
      <c r="C476" s="48" t="s">
        <v>1976</v>
      </c>
      <c r="D476" s="48">
        <v>200806</v>
      </c>
      <c r="E476" s="49">
        <v>44049</v>
      </c>
      <c r="F476" s="31"/>
      <c r="G476" s="31"/>
    </row>
    <row r="477" spans="1:7" ht="29" x14ac:dyDescent="0.35">
      <c r="A477" s="47">
        <v>1</v>
      </c>
      <c r="B477" s="48" t="s">
        <v>2243</v>
      </c>
      <c r="C477" s="48" t="s">
        <v>1976</v>
      </c>
      <c r="D477" s="48">
        <v>200806</v>
      </c>
      <c r="E477" s="49">
        <v>44049</v>
      </c>
      <c r="F477" s="31"/>
      <c r="G477" s="31"/>
    </row>
    <row r="478" spans="1:7" x14ac:dyDescent="0.35">
      <c r="A478" s="47">
        <v>1</v>
      </c>
      <c r="B478" s="48" t="s">
        <v>2203</v>
      </c>
      <c r="C478" s="48" t="s">
        <v>1976</v>
      </c>
      <c r="D478" s="48">
        <v>200806</v>
      </c>
      <c r="E478" s="49">
        <v>44049</v>
      </c>
      <c r="F478" s="31"/>
      <c r="G478" s="31"/>
    </row>
    <row r="479" spans="1:7" x14ac:dyDescent="0.35">
      <c r="A479" s="47">
        <v>1</v>
      </c>
      <c r="B479" s="48" t="s">
        <v>2212</v>
      </c>
      <c r="C479" s="48" t="s">
        <v>1976</v>
      </c>
      <c r="D479" s="48">
        <v>200806</v>
      </c>
      <c r="E479" s="49">
        <v>44049</v>
      </c>
      <c r="F479" s="31"/>
      <c r="G479" s="31"/>
    </row>
    <row r="480" spans="1:7" x14ac:dyDescent="0.35">
      <c r="A480" s="47">
        <v>1</v>
      </c>
      <c r="B480" s="48" t="s">
        <v>2226</v>
      </c>
      <c r="C480" s="48" t="s">
        <v>1976</v>
      </c>
      <c r="D480" s="48">
        <v>200806</v>
      </c>
      <c r="E480" s="49">
        <v>44049</v>
      </c>
      <c r="F480" s="31"/>
      <c r="G480" s="31"/>
    </row>
    <row r="481" spans="1:7" x14ac:dyDescent="0.35">
      <c r="A481" s="47">
        <v>1</v>
      </c>
      <c r="B481" s="48" t="s">
        <v>2228</v>
      </c>
      <c r="C481" s="48" t="s">
        <v>1976</v>
      </c>
      <c r="D481" s="48">
        <v>200806</v>
      </c>
      <c r="E481" s="49">
        <v>44049</v>
      </c>
      <c r="F481" s="31"/>
      <c r="G481" s="31"/>
    </row>
    <row r="482" spans="1:7" x14ac:dyDescent="0.35">
      <c r="A482" s="47">
        <v>1</v>
      </c>
      <c r="B482" s="48" t="s">
        <v>2230</v>
      </c>
      <c r="C482" s="48" t="s">
        <v>1976</v>
      </c>
      <c r="D482" s="48">
        <v>200806</v>
      </c>
      <c r="E482" s="49">
        <v>44049</v>
      </c>
      <c r="F482" s="31"/>
      <c r="G482" s="31"/>
    </row>
    <row r="483" spans="1:7" x14ac:dyDescent="0.35">
      <c r="A483" s="47">
        <v>1</v>
      </c>
      <c r="B483" s="48" t="s">
        <v>2238</v>
      </c>
      <c r="C483" s="48" t="s">
        <v>1976</v>
      </c>
      <c r="D483" s="48">
        <v>200806</v>
      </c>
      <c r="E483" s="49">
        <v>44049</v>
      </c>
      <c r="F483" s="31"/>
      <c r="G483" s="31"/>
    </row>
    <row r="484" spans="1:7" x14ac:dyDescent="0.35">
      <c r="A484" s="47">
        <v>1</v>
      </c>
      <c r="B484" s="48" t="s">
        <v>2244</v>
      </c>
      <c r="C484" s="48" t="s">
        <v>1968</v>
      </c>
      <c r="D484" s="48">
        <v>200817</v>
      </c>
      <c r="E484" s="49">
        <v>44060</v>
      </c>
      <c r="F484" s="31"/>
      <c r="G484" s="31"/>
    </row>
    <row r="485" spans="1:7" x14ac:dyDescent="0.35">
      <c r="A485" s="47">
        <v>1</v>
      </c>
      <c r="B485" s="48" t="s">
        <v>2245</v>
      </c>
      <c r="C485" s="48" t="s">
        <v>1968</v>
      </c>
      <c r="D485" s="48">
        <v>200817</v>
      </c>
      <c r="E485" s="49">
        <v>44060</v>
      </c>
      <c r="F485" s="31"/>
      <c r="G485" s="31"/>
    </row>
    <row r="486" spans="1:7" x14ac:dyDescent="0.35">
      <c r="A486" s="47">
        <v>1</v>
      </c>
      <c r="B486" s="48" t="s">
        <v>2246</v>
      </c>
      <c r="C486" s="48" t="s">
        <v>1968</v>
      </c>
      <c r="D486" s="48">
        <v>200817</v>
      </c>
      <c r="E486" s="49">
        <v>44060</v>
      </c>
      <c r="F486" s="31"/>
      <c r="G486" s="31"/>
    </row>
    <row r="487" spans="1:7" x14ac:dyDescent="0.35">
      <c r="A487" s="47">
        <v>1</v>
      </c>
      <c r="B487" s="48" t="s">
        <v>2247</v>
      </c>
      <c r="C487" s="48" t="s">
        <v>1968</v>
      </c>
      <c r="D487" s="48">
        <v>200817</v>
      </c>
      <c r="E487" s="49">
        <v>44060</v>
      </c>
      <c r="F487" s="31"/>
      <c r="G487" s="31"/>
    </row>
    <row r="488" spans="1:7" x14ac:dyDescent="0.35">
      <c r="A488" s="47">
        <v>1</v>
      </c>
      <c r="B488" s="48" t="s">
        <v>2058</v>
      </c>
      <c r="C488" s="48" t="s">
        <v>1970</v>
      </c>
      <c r="D488" s="48">
        <v>200817</v>
      </c>
      <c r="E488" s="49">
        <v>44060</v>
      </c>
      <c r="F488" s="31"/>
      <c r="G488" s="31"/>
    </row>
    <row r="489" spans="1:7" x14ac:dyDescent="0.35">
      <c r="A489" s="47">
        <v>1</v>
      </c>
      <c r="B489" s="48" t="s">
        <v>2188</v>
      </c>
      <c r="C489" s="48" t="s">
        <v>1970</v>
      </c>
      <c r="D489" s="48">
        <v>200817</v>
      </c>
      <c r="E489" s="49">
        <v>44060</v>
      </c>
      <c r="F489" s="31"/>
      <c r="G489" s="31"/>
    </row>
    <row r="490" spans="1:7" x14ac:dyDescent="0.35">
      <c r="A490" s="47">
        <v>1</v>
      </c>
      <c r="B490" s="48" t="s">
        <v>2203</v>
      </c>
      <c r="C490" s="48" t="s">
        <v>1970</v>
      </c>
      <c r="D490" s="48">
        <v>200817</v>
      </c>
      <c r="E490" s="49">
        <v>44060</v>
      </c>
      <c r="F490" s="31"/>
      <c r="G490" s="31"/>
    </row>
    <row r="491" spans="1:7" x14ac:dyDescent="0.35">
      <c r="A491" s="47">
        <v>1</v>
      </c>
      <c r="B491" s="48" t="s">
        <v>2227</v>
      </c>
      <c r="C491" s="48" t="s">
        <v>1970</v>
      </c>
      <c r="D491" s="48">
        <v>200817</v>
      </c>
      <c r="E491" s="49">
        <v>44060</v>
      </c>
      <c r="F491" s="31"/>
      <c r="G491" s="31"/>
    </row>
    <row r="492" spans="1:7" x14ac:dyDescent="0.35">
      <c r="A492" s="47">
        <v>1</v>
      </c>
      <c r="B492" s="48" t="s">
        <v>2232</v>
      </c>
      <c r="C492" s="48" t="s">
        <v>1970</v>
      </c>
      <c r="D492" s="48">
        <v>200817</v>
      </c>
      <c r="E492" s="49">
        <v>44060</v>
      </c>
      <c r="F492" s="31"/>
      <c r="G492" s="31"/>
    </row>
    <row r="493" spans="1:7" x14ac:dyDescent="0.35">
      <c r="A493" s="47">
        <v>1</v>
      </c>
      <c r="B493" s="48" t="s">
        <v>2233</v>
      </c>
      <c r="C493" s="48" t="s">
        <v>1970</v>
      </c>
      <c r="D493" s="48">
        <v>200817</v>
      </c>
      <c r="E493" s="49">
        <v>44060</v>
      </c>
      <c r="F493" s="31"/>
      <c r="G493" s="31"/>
    </row>
    <row r="494" spans="1:7" x14ac:dyDescent="0.35">
      <c r="A494" s="47">
        <v>1</v>
      </c>
      <c r="B494" s="48" t="s">
        <v>2167</v>
      </c>
      <c r="C494" s="48" t="s">
        <v>1975</v>
      </c>
      <c r="D494" s="48">
        <v>200817</v>
      </c>
      <c r="E494" s="49">
        <v>44060</v>
      </c>
      <c r="F494" s="31"/>
      <c r="G494" s="31"/>
    </row>
    <row r="495" spans="1:7" x14ac:dyDescent="0.35">
      <c r="A495" s="47">
        <v>1</v>
      </c>
      <c r="B495" s="48" t="s">
        <v>2242</v>
      </c>
      <c r="C495" s="48" t="s">
        <v>1975</v>
      </c>
      <c r="D495" s="48">
        <v>200817</v>
      </c>
      <c r="E495" s="49">
        <v>44060</v>
      </c>
      <c r="F495" s="31"/>
      <c r="G495" s="31"/>
    </row>
    <row r="496" spans="1:7" x14ac:dyDescent="0.35">
      <c r="A496" s="47">
        <v>1</v>
      </c>
      <c r="B496" s="48" t="s">
        <v>2203</v>
      </c>
      <c r="C496" s="48" t="s">
        <v>1974</v>
      </c>
      <c r="D496" s="48">
        <v>200821</v>
      </c>
      <c r="E496" s="49">
        <v>44064</v>
      </c>
      <c r="F496" s="31"/>
      <c r="G496" s="31"/>
    </row>
    <row r="497" spans="1:7" x14ac:dyDescent="0.35">
      <c r="A497" s="47">
        <v>1</v>
      </c>
      <c r="B497" s="48" t="s">
        <v>2203</v>
      </c>
      <c r="C497" s="48" t="s">
        <v>1976</v>
      </c>
      <c r="D497" s="48">
        <v>200821</v>
      </c>
      <c r="E497" s="49">
        <v>44064</v>
      </c>
      <c r="F497" s="31"/>
      <c r="G497" s="31"/>
    </row>
    <row r="498" spans="1:7" x14ac:dyDescent="0.35">
      <c r="A498" s="47">
        <v>1</v>
      </c>
      <c r="B498" s="48" t="s">
        <v>2248</v>
      </c>
      <c r="C498" s="48" t="s">
        <v>1968</v>
      </c>
      <c r="D498" s="48">
        <v>200907</v>
      </c>
      <c r="E498" s="49">
        <v>44081</v>
      </c>
      <c r="F498" s="31"/>
      <c r="G498" s="31"/>
    </row>
    <row r="499" spans="1:7" x14ac:dyDescent="0.35">
      <c r="A499" s="47">
        <v>1</v>
      </c>
      <c r="B499" s="48" t="s">
        <v>2242</v>
      </c>
      <c r="C499" s="48" t="s">
        <v>1975</v>
      </c>
      <c r="D499" s="48">
        <v>200907</v>
      </c>
      <c r="E499" s="49">
        <v>44081</v>
      </c>
      <c r="F499" s="31"/>
      <c r="G499" s="31"/>
    </row>
    <row r="500" spans="1:7" x14ac:dyDescent="0.35">
      <c r="A500" s="47">
        <v>1</v>
      </c>
      <c r="B500" s="48" t="s">
        <v>2171</v>
      </c>
      <c r="C500" s="48" t="s">
        <v>1976</v>
      </c>
      <c r="D500" s="48">
        <v>200907</v>
      </c>
      <c r="E500" s="49">
        <v>44081</v>
      </c>
      <c r="F500" s="31"/>
      <c r="G500" s="31"/>
    </row>
    <row r="501" spans="1:7" x14ac:dyDescent="0.35">
      <c r="A501" s="47">
        <v>1</v>
      </c>
      <c r="B501" s="48" t="s">
        <v>2190</v>
      </c>
      <c r="C501" s="48" t="s">
        <v>1976</v>
      </c>
      <c r="D501" s="48">
        <v>200907</v>
      </c>
      <c r="E501" s="49">
        <v>44081</v>
      </c>
      <c r="F501" s="31"/>
      <c r="G501" s="31"/>
    </row>
    <row r="502" spans="1:7" x14ac:dyDescent="0.35">
      <c r="A502" s="47">
        <v>1</v>
      </c>
      <c r="B502" s="48" t="s">
        <v>2195</v>
      </c>
      <c r="C502" s="48" t="s">
        <v>1976</v>
      </c>
      <c r="D502" s="48">
        <v>200907</v>
      </c>
      <c r="E502" s="49">
        <v>44081</v>
      </c>
      <c r="F502" s="31"/>
      <c r="G502" s="31"/>
    </row>
    <row r="503" spans="1:7" x14ac:dyDescent="0.35">
      <c r="A503" s="47">
        <v>1</v>
      </c>
      <c r="B503" s="48" t="s">
        <v>2209</v>
      </c>
      <c r="C503" s="48" t="s">
        <v>1976</v>
      </c>
      <c r="D503" s="48">
        <v>200907</v>
      </c>
      <c r="E503" s="49">
        <v>44081</v>
      </c>
      <c r="F503" s="31"/>
      <c r="G503" s="31"/>
    </row>
    <row r="504" spans="1:7" x14ac:dyDescent="0.35">
      <c r="A504" s="47">
        <v>1</v>
      </c>
      <c r="B504" s="48" t="s">
        <v>2218</v>
      </c>
      <c r="C504" s="48" t="s">
        <v>1976</v>
      </c>
      <c r="D504" s="48">
        <v>200907</v>
      </c>
      <c r="E504" s="49">
        <v>44081</v>
      </c>
      <c r="F504" s="31"/>
      <c r="G504" s="31"/>
    </row>
    <row r="505" spans="1:7" x14ac:dyDescent="0.35">
      <c r="A505" s="47">
        <v>1</v>
      </c>
      <c r="B505" s="48" t="s">
        <v>2221</v>
      </c>
      <c r="C505" s="48" t="s">
        <v>1976</v>
      </c>
      <c r="D505" s="48">
        <v>200907</v>
      </c>
      <c r="E505" s="49">
        <v>44081</v>
      </c>
      <c r="F505" s="31"/>
      <c r="G505" s="31"/>
    </row>
    <row r="506" spans="1:7" x14ac:dyDescent="0.35">
      <c r="A506" s="47">
        <v>1</v>
      </c>
      <c r="B506" s="48" t="s">
        <v>2235</v>
      </c>
      <c r="C506" s="48" t="s">
        <v>1976</v>
      </c>
      <c r="D506" s="48">
        <v>200907</v>
      </c>
      <c r="E506" s="49">
        <v>44081</v>
      </c>
      <c r="F506" s="31"/>
      <c r="G506" s="31"/>
    </row>
    <row r="507" spans="1:7" x14ac:dyDescent="0.35">
      <c r="A507" s="47">
        <v>1</v>
      </c>
      <c r="B507" s="48" t="s">
        <v>2242</v>
      </c>
      <c r="C507" s="48" t="s">
        <v>1976</v>
      </c>
      <c r="D507" s="48">
        <v>200907</v>
      </c>
      <c r="E507" s="49">
        <v>44081</v>
      </c>
      <c r="F507" s="31"/>
      <c r="G507" s="31"/>
    </row>
    <row r="508" spans="1:7" x14ac:dyDescent="0.35">
      <c r="A508" s="47">
        <v>1</v>
      </c>
      <c r="B508" s="48" t="s">
        <v>2249</v>
      </c>
      <c r="C508" s="48" t="s">
        <v>1968</v>
      </c>
      <c r="D508" s="48">
        <v>200921</v>
      </c>
      <c r="E508" s="49">
        <v>44095</v>
      </c>
      <c r="F508" s="31"/>
      <c r="G508" s="31"/>
    </row>
    <row r="509" spans="1:7" x14ac:dyDescent="0.35">
      <c r="A509" s="47">
        <v>1</v>
      </c>
      <c r="B509" s="48" t="s">
        <v>2250</v>
      </c>
      <c r="C509" s="48" t="s">
        <v>1968</v>
      </c>
      <c r="D509" s="48">
        <v>200921</v>
      </c>
      <c r="E509" s="49">
        <v>44095</v>
      </c>
      <c r="F509" s="31"/>
      <c r="G509" s="31"/>
    </row>
    <row r="510" spans="1:7" x14ac:dyDescent="0.35">
      <c r="A510" s="47">
        <v>1</v>
      </c>
      <c r="B510" s="48" t="s">
        <v>2159</v>
      </c>
      <c r="C510" s="48" t="s">
        <v>1970</v>
      </c>
      <c r="D510" s="48">
        <v>200921</v>
      </c>
      <c r="E510" s="49">
        <v>44095</v>
      </c>
      <c r="F510" s="31"/>
      <c r="G510" s="31"/>
    </row>
    <row r="511" spans="1:7" x14ac:dyDescent="0.35">
      <c r="A511" s="47">
        <v>1</v>
      </c>
      <c r="B511" s="48" t="s">
        <v>2246</v>
      </c>
      <c r="C511" s="48" t="s">
        <v>1970</v>
      </c>
      <c r="D511" s="48">
        <v>200921</v>
      </c>
      <c r="E511" s="49">
        <v>44095</v>
      </c>
      <c r="F511" s="31"/>
      <c r="G511" s="31"/>
    </row>
    <row r="512" spans="1:7" x14ac:dyDescent="0.35">
      <c r="A512" s="47">
        <v>1</v>
      </c>
      <c r="B512" s="48" t="s">
        <v>2061</v>
      </c>
      <c r="C512" s="48" t="s">
        <v>1976</v>
      </c>
      <c r="D512" s="48">
        <v>200921</v>
      </c>
      <c r="E512" s="49">
        <v>44095</v>
      </c>
      <c r="F512" s="31"/>
      <c r="G512" s="31"/>
    </row>
    <row r="513" spans="1:7" x14ac:dyDescent="0.35">
      <c r="A513" s="47">
        <v>1</v>
      </c>
      <c r="B513" s="48" t="s">
        <v>2156</v>
      </c>
      <c r="C513" s="48" t="s">
        <v>1976</v>
      </c>
      <c r="D513" s="48">
        <v>200921</v>
      </c>
      <c r="E513" s="49">
        <v>44095</v>
      </c>
      <c r="F513" s="31"/>
      <c r="G513" s="31"/>
    </row>
    <row r="514" spans="1:7" x14ac:dyDescent="0.35">
      <c r="A514" s="47">
        <v>1</v>
      </c>
      <c r="B514" s="48" t="s">
        <v>2224</v>
      </c>
      <c r="C514" s="48" t="s">
        <v>1976</v>
      </c>
      <c r="D514" s="48">
        <v>200921</v>
      </c>
      <c r="E514" s="49">
        <v>44095</v>
      </c>
      <c r="F514" s="31"/>
      <c r="G514" s="31"/>
    </row>
    <row r="515" spans="1:7" x14ac:dyDescent="0.35">
      <c r="A515" s="47">
        <v>1</v>
      </c>
      <c r="B515" s="48" t="s">
        <v>2204</v>
      </c>
      <c r="C515" s="48" t="s">
        <v>1976</v>
      </c>
      <c r="D515" s="48">
        <v>200921</v>
      </c>
      <c r="E515" s="49">
        <v>44095</v>
      </c>
      <c r="F515" s="31"/>
      <c r="G515" s="31"/>
    </row>
    <row r="516" spans="1:7" x14ac:dyDescent="0.35">
      <c r="A516" s="47">
        <v>1</v>
      </c>
      <c r="B516" s="48" t="s">
        <v>2207</v>
      </c>
      <c r="C516" s="48" t="s">
        <v>1976</v>
      </c>
      <c r="D516" s="48">
        <v>200921</v>
      </c>
      <c r="E516" s="49">
        <v>44095</v>
      </c>
      <c r="F516" s="31"/>
      <c r="G516" s="31"/>
    </row>
    <row r="517" spans="1:7" x14ac:dyDescent="0.35">
      <c r="A517" s="47">
        <v>1</v>
      </c>
      <c r="B517" s="48" t="s">
        <v>2209</v>
      </c>
      <c r="C517" s="48" t="s">
        <v>1976</v>
      </c>
      <c r="D517" s="48">
        <v>200921</v>
      </c>
      <c r="E517" s="49">
        <v>44095</v>
      </c>
      <c r="F517" s="31"/>
      <c r="G517" s="31"/>
    </row>
    <row r="518" spans="1:7" x14ac:dyDescent="0.35">
      <c r="A518" s="47">
        <v>1</v>
      </c>
      <c r="B518" s="48" t="s">
        <v>2212</v>
      </c>
      <c r="C518" s="48" t="s">
        <v>1976</v>
      </c>
      <c r="D518" s="48">
        <v>200921</v>
      </c>
      <c r="E518" s="49">
        <v>44095</v>
      </c>
      <c r="F518" s="31"/>
      <c r="G518" s="31"/>
    </row>
    <row r="519" spans="1:7" x14ac:dyDescent="0.35">
      <c r="A519" s="47">
        <v>1</v>
      </c>
      <c r="B519" s="48" t="s">
        <v>2221</v>
      </c>
      <c r="C519" s="48" t="s">
        <v>1976</v>
      </c>
      <c r="D519" s="48">
        <v>200921</v>
      </c>
      <c r="E519" s="49">
        <v>44095</v>
      </c>
      <c r="F519" s="31"/>
      <c r="G519" s="31"/>
    </row>
    <row r="520" spans="1:7" x14ac:dyDescent="0.35">
      <c r="A520" s="47">
        <v>1</v>
      </c>
      <c r="B520" s="48" t="s">
        <v>2234</v>
      </c>
      <c r="C520" s="48" t="s">
        <v>1976</v>
      </c>
      <c r="D520" s="48">
        <v>200921</v>
      </c>
      <c r="E520" s="49">
        <v>44095</v>
      </c>
      <c r="F520" s="31"/>
      <c r="G520" s="31"/>
    </row>
    <row r="521" spans="1:7" x14ac:dyDescent="0.35">
      <c r="A521" s="47">
        <v>1</v>
      </c>
      <c r="B521" s="48" t="s">
        <v>2251</v>
      </c>
      <c r="C521" s="48" t="s">
        <v>1968</v>
      </c>
      <c r="D521" s="48">
        <v>201001</v>
      </c>
      <c r="E521" s="49">
        <v>44105</v>
      </c>
      <c r="F521" s="31"/>
      <c r="G521" s="31"/>
    </row>
    <row r="522" spans="1:7" x14ac:dyDescent="0.35">
      <c r="A522" s="47">
        <v>1</v>
      </c>
      <c r="B522" s="48" t="s">
        <v>2252</v>
      </c>
      <c r="C522" s="48" t="s">
        <v>1968</v>
      </c>
      <c r="D522" s="48">
        <v>201001</v>
      </c>
      <c r="E522" s="49">
        <v>44105</v>
      </c>
      <c r="F522" s="31"/>
      <c r="G522" s="31"/>
    </row>
    <row r="523" spans="1:7" x14ac:dyDescent="0.35">
      <c r="A523" s="47">
        <v>1</v>
      </c>
      <c r="B523" s="48" t="s">
        <v>2190</v>
      </c>
      <c r="C523" s="48" t="s">
        <v>1970</v>
      </c>
      <c r="D523" s="48">
        <v>201001</v>
      </c>
      <c r="E523" s="49">
        <v>44105</v>
      </c>
      <c r="F523" s="31"/>
      <c r="G523" s="31"/>
    </row>
    <row r="524" spans="1:7" x14ac:dyDescent="0.35">
      <c r="A524" s="47">
        <v>1</v>
      </c>
      <c r="B524" s="48" t="s">
        <v>2250</v>
      </c>
      <c r="C524" s="48" t="s">
        <v>1970</v>
      </c>
      <c r="D524" s="48">
        <v>201001</v>
      </c>
      <c r="E524" s="49">
        <v>44105</v>
      </c>
      <c r="F524" s="31"/>
      <c r="G524" s="31"/>
    </row>
    <row r="525" spans="1:7" x14ac:dyDescent="0.35">
      <c r="A525" s="47">
        <v>1</v>
      </c>
      <c r="B525" s="48" t="s">
        <v>2035</v>
      </c>
      <c r="C525" s="48" t="s">
        <v>1976</v>
      </c>
      <c r="D525" s="48">
        <v>201001</v>
      </c>
      <c r="E525" s="49">
        <v>44105</v>
      </c>
      <c r="F525" s="31"/>
      <c r="G525" s="31"/>
    </row>
    <row r="526" spans="1:7" x14ac:dyDescent="0.35">
      <c r="A526" s="47">
        <v>1</v>
      </c>
      <c r="B526" s="48" t="s">
        <v>2156</v>
      </c>
      <c r="C526" s="48" t="s">
        <v>1976</v>
      </c>
      <c r="D526" s="48">
        <v>201001</v>
      </c>
      <c r="E526" s="49">
        <v>44105</v>
      </c>
      <c r="F526" s="31"/>
      <c r="G526" s="31"/>
    </row>
    <row r="527" spans="1:7" x14ac:dyDescent="0.35">
      <c r="A527" s="47">
        <v>1</v>
      </c>
      <c r="B527" s="48" t="s">
        <v>2167</v>
      </c>
      <c r="C527" s="48" t="s">
        <v>1976</v>
      </c>
      <c r="D527" s="48">
        <v>201001</v>
      </c>
      <c r="E527" s="49">
        <v>44105</v>
      </c>
      <c r="F527" s="31"/>
      <c r="G527" s="31"/>
    </row>
    <row r="528" spans="1:7" x14ac:dyDescent="0.35">
      <c r="A528" s="47">
        <v>1</v>
      </c>
      <c r="B528" s="48" t="s">
        <v>2234</v>
      </c>
      <c r="C528" s="48" t="s">
        <v>1976</v>
      </c>
      <c r="D528" s="48">
        <v>201001</v>
      </c>
      <c r="E528" s="49">
        <v>44105</v>
      </c>
      <c r="F528" s="31"/>
      <c r="G528" s="31"/>
    </row>
    <row r="529" spans="1:7" x14ac:dyDescent="0.35">
      <c r="A529" s="47">
        <v>1</v>
      </c>
      <c r="B529" s="48" t="s">
        <v>2253</v>
      </c>
      <c r="C529" s="48" t="s">
        <v>1968</v>
      </c>
      <c r="D529" s="48">
        <v>201015</v>
      </c>
      <c r="E529" s="49">
        <v>44119</v>
      </c>
      <c r="F529" s="31"/>
      <c r="G529" s="31"/>
    </row>
    <row r="530" spans="1:7" x14ac:dyDescent="0.35">
      <c r="A530" s="47">
        <v>1</v>
      </c>
      <c r="B530" s="48" t="s">
        <v>2254</v>
      </c>
      <c r="C530" s="48" t="s">
        <v>1968</v>
      </c>
      <c r="D530" s="48">
        <v>201015</v>
      </c>
      <c r="E530" s="49">
        <v>44119</v>
      </c>
      <c r="F530" s="31"/>
      <c r="G530" s="31"/>
    </row>
    <row r="531" spans="1:7" x14ac:dyDescent="0.35">
      <c r="A531" s="47">
        <v>1</v>
      </c>
      <c r="B531" s="48" t="s">
        <v>2255</v>
      </c>
      <c r="C531" s="48" t="s">
        <v>1968</v>
      </c>
      <c r="D531" s="48">
        <v>201015</v>
      </c>
      <c r="E531" s="49">
        <v>44119</v>
      </c>
      <c r="F531" s="31"/>
      <c r="G531" s="31"/>
    </row>
    <row r="532" spans="1:7" x14ac:dyDescent="0.35">
      <c r="A532" s="47">
        <v>1</v>
      </c>
      <c r="B532" s="48" t="s">
        <v>2256</v>
      </c>
      <c r="C532" s="48" t="s">
        <v>1968</v>
      </c>
      <c r="D532" s="48">
        <v>201015</v>
      </c>
      <c r="E532" s="49">
        <v>44119</v>
      </c>
      <c r="F532" s="31"/>
      <c r="G532" s="31"/>
    </row>
    <row r="533" spans="1:7" x14ac:dyDescent="0.35">
      <c r="A533" s="47">
        <v>1</v>
      </c>
      <c r="B533" s="48" t="s">
        <v>2257</v>
      </c>
      <c r="C533" s="48" t="s">
        <v>1968</v>
      </c>
      <c r="D533" s="48">
        <v>201015</v>
      </c>
      <c r="E533" s="49">
        <v>44119</v>
      </c>
      <c r="F533" s="31"/>
      <c r="G533" s="31"/>
    </row>
    <row r="534" spans="1:7" x14ac:dyDescent="0.35">
      <c r="A534" s="47">
        <v>1</v>
      </c>
      <c r="B534" s="48" t="s">
        <v>2258</v>
      </c>
      <c r="C534" s="48" t="s">
        <v>1968</v>
      </c>
      <c r="D534" s="48">
        <v>201015</v>
      </c>
      <c r="E534" s="49">
        <v>44119</v>
      </c>
      <c r="F534" s="31"/>
      <c r="G534" s="31"/>
    </row>
    <row r="535" spans="1:7" x14ac:dyDescent="0.35">
      <c r="A535" s="47">
        <v>1</v>
      </c>
      <c r="B535" s="48" t="s">
        <v>2259</v>
      </c>
      <c r="C535" s="48" t="s">
        <v>1968</v>
      </c>
      <c r="D535" s="48">
        <v>201015</v>
      </c>
      <c r="E535" s="49">
        <v>44119</v>
      </c>
      <c r="F535" s="31"/>
      <c r="G535" s="31"/>
    </row>
    <row r="536" spans="1:7" x14ac:dyDescent="0.35">
      <c r="A536" s="47">
        <v>1</v>
      </c>
      <c r="B536" s="48" t="s">
        <v>2260</v>
      </c>
      <c r="C536" s="48" t="s">
        <v>1968</v>
      </c>
      <c r="D536" s="48">
        <v>201015</v>
      </c>
      <c r="E536" s="49">
        <v>44119</v>
      </c>
      <c r="F536" s="31"/>
      <c r="G536" s="31"/>
    </row>
    <row r="537" spans="1:7" x14ac:dyDescent="0.35">
      <c r="A537" s="47">
        <v>1</v>
      </c>
      <c r="B537" s="48" t="s">
        <v>2261</v>
      </c>
      <c r="C537" s="48" t="s">
        <v>1968</v>
      </c>
      <c r="D537" s="48">
        <v>201015</v>
      </c>
      <c r="E537" s="49">
        <v>44119</v>
      </c>
      <c r="F537" s="31"/>
      <c r="G537" s="31"/>
    </row>
    <row r="538" spans="1:7" x14ac:dyDescent="0.35">
      <c r="A538" s="47">
        <v>1</v>
      </c>
      <c r="B538" s="48" t="s">
        <v>2262</v>
      </c>
      <c r="C538" s="48" t="s">
        <v>1968</v>
      </c>
      <c r="D538" s="48">
        <v>201015</v>
      </c>
      <c r="E538" s="49">
        <v>44119</v>
      </c>
      <c r="F538" s="31"/>
      <c r="G538" s="31"/>
    </row>
    <row r="539" spans="1:7" x14ac:dyDescent="0.35">
      <c r="A539" s="47">
        <v>1</v>
      </c>
      <c r="B539" s="48" t="s">
        <v>2091</v>
      </c>
      <c r="C539" s="48" t="s">
        <v>1970</v>
      </c>
      <c r="D539" s="48">
        <v>201015</v>
      </c>
      <c r="E539" s="49">
        <v>44119</v>
      </c>
      <c r="F539" s="31"/>
      <c r="G539" s="31"/>
    </row>
    <row r="540" spans="1:7" x14ac:dyDescent="0.35">
      <c r="A540" s="47">
        <v>1</v>
      </c>
      <c r="B540" s="48" t="s">
        <v>2115</v>
      </c>
      <c r="C540" s="48" t="s">
        <v>1970</v>
      </c>
      <c r="D540" s="48">
        <v>201015</v>
      </c>
      <c r="E540" s="49">
        <v>44119</v>
      </c>
      <c r="F540" s="31"/>
      <c r="G540" s="31"/>
    </row>
    <row r="541" spans="1:7" x14ac:dyDescent="0.35">
      <c r="A541" s="47">
        <v>1</v>
      </c>
      <c r="B541" s="48" t="s">
        <v>2157</v>
      </c>
      <c r="C541" s="48" t="s">
        <v>1970</v>
      </c>
      <c r="D541" s="48">
        <v>201015</v>
      </c>
      <c r="E541" s="49">
        <v>44119</v>
      </c>
      <c r="F541" s="31"/>
      <c r="G541" s="31"/>
    </row>
    <row r="542" spans="1:7" x14ac:dyDescent="0.35">
      <c r="A542" s="47">
        <v>1</v>
      </c>
      <c r="B542" s="48" t="s">
        <v>2169</v>
      </c>
      <c r="C542" s="48" t="s">
        <v>1970</v>
      </c>
      <c r="D542" s="48">
        <v>201015</v>
      </c>
      <c r="E542" s="49">
        <v>44119</v>
      </c>
      <c r="F542" s="31"/>
      <c r="G542" s="31"/>
    </row>
    <row r="543" spans="1:7" x14ac:dyDescent="0.35">
      <c r="A543" s="47">
        <v>1</v>
      </c>
      <c r="B543" s="48" t="s">
        <v>2192</v>
      </c>
      <c r="C543" s="48" t="s">
        <v>1970</v>
      </c>
      <c r="D543" s="48">
        <v>201015</v>
      </c>
      <c r="E543" s="49">
        <v>44119</v>
      </c>
      <c r="F543" s="31"/>
      <c r="G543" s="31"/>
    </row>
    <row r="544" spans="1:7" x14ac:dyDescent="0.35">
      <c r="A544" s="47">
        <v>1</v>
      </c>
      <c r="B544" s="48" t="s">
        <v>2199</v>
      </c>
      <c r="C544" s="48" t="s">
        <v>1970</v>
      </c>
      <c r="D544" s="48">
        <v>201015</v>
      </c>
      <c r="E544" s="49">
        <v>44119</v>
      </c>
      <c r="F544" s="31"/>
      <c r="G544" s="31"/>
    </row>
    <row r="545" spans="1:7" x14ac:dyDescent="0.35">
      <c r="A545" s="47">
        <v>1</v>
      </c>
      <c r="B545" s="48" t="s">
        <v>2202</v>
      </c>
      <c r="C545" s="48" t="s">
        <v>1970</v>
      </c>
      <c r="D545" s="48">
        <v>201015</v>
      </c>
      <c r="E545" s="49">
        <v>44119</v>
      </c>
      <c r="F545" s="31"/>
      <c r="G545" s="31"/>
    </row>
    <row r="546" spans="1:7" x14ac:dyDescent="0.35">
      <c r="A546" s="47">
        <v>1</v>
      </c>
      <c r="B546" s="48" t="s">
        <v>2203</v>
      </c>
      <c r="C546" s="48" t="s">
        <v>1970</v>
      </c>
      <c r="D546" s="48">
        <v>201015</v>
      </c>
      <c r="E546" s="49">
        <v>44119</v>
      </c>
      <c r="F546" s="31"/>
      <c r="G546" s="31"/>
    </row>
    <row r="547" spans="1:7" x14ac:dyDescent="0.35">
      <c r="A547" s="47">
        <v>1</v>
      </c>
      <c r="B547" s="48" t="s">
        <v>2205</v>
      </c>
      <c r="C547" s="48" t="s">
        <v>1970</v>
      </c>
      <c r="D547" s="48">
        <v>201015</v>
      </c>
      <c r="E547" s="49">
        <v>44119</v>
      </c>
      <c r="F547" s="31"/>
      <c r="G547" s="31"/>
    </row>
    <row r="548" spans="1:7" x14ac:dyDescent="0.35">
      <c r="A548" s="47">
        <v>1</v>
      </c>
      <c r="B548" s="48" t="s">
        <v>2215</v>
      </c>
      <c r="C548" s="48" t="s">
        <v>1970</v>
      </c>
      <c r="D548" s="48">
        <v>201015</v>
      </c>
      <c r="E548" s="49">
        <v>44119</v>
      </c>
      <c r="F548" s="31"/>
      <c r="G548" s="31"/>
    </row>
    <row r="549" spans="1:7" x14ac:dyDescent="0.35">
      <c r="A549" s="47">
        <v>1</v>
      </c>
      <c r="B549" s="48" t="s">
        <v>2218</v>
      </c>
      <c r="C549" s="48" t="s">
        <v>1970</v>
      </c>
      <c r="D549" s="48">
        <v>201015</v>
      </c>
      <c r="E549" s="49">
        <v>44119</v>
      </c>
      <c r="F549" s="31"/>
      <c r="G549" s="31"/>
    </row>
    <row r="550" spans="1:7" x14ac:dyDescent="0.35">
      <c r="A550" s="47">
        <v>1</v>
      </c>
      <c r="B550" s="48" t="s">
        <v>2226</v>
      </c>
      <c r="C550" s="48" t="s">
        <v>1970</v>
      </c>
      <c r="D550" s="48">
        <v>201015</v>
      </c>
      <c r="E550" s="49">
        <v>44119</v>
      </c>
      <c r="F550" s="31"/>
      <c r="G550" s="31"/>
    </row>
    <row r="551" spans="1:7" x14ac:dyDescent="0.35">
      <c r="A551" s="47">
        <v>1</v>
      </c>
      <c r="B551" s="48" t="s">
        <v>2228</v>
      </c>
      <c r="C551" s="48" t="s">
        <v>1970</v>
      </c>
      <c r="D551" s="48">
        <v>201015</v>
      </c>
      <c r="E551" s="49">
        <v>44119</v>
      </c>
      <c r="F551" s="31"/>
      <c r="G551" s="31"/>
    </row>
    <row r="552" spans="1:7" x14ac:dyDescent="0.35">
      <c r="A552" s="47">
        <v>1</v>
      </c>
      <c r="B552" s="48" t="s">
        <v>2230</v>
      </c>
      <c r="C552" s="48" t="s">
        <v>1970</v>
      </c>
      <c r="D552" s="48">
        <v>201015</v>
      </c>
      <c r="E552" s="49">
        <v>44119</v>
      </c>
      <c r="F552" s="31"/>
      <c r="G552" s="31"/>
    </row>
    <row r="553" spans="1:7" x14ac:dyDescent="0.35">
      <c r="A553" s="47">
        <v>1</v>
      </c>
      <c r="B553" s="48" t="s">
        <v>2252</v>
      </c>
      <c r="C553" s="48" t="s">
        <v>1975</v>
      </c>
      <c r="D553" s="48">
        <v>201015</v>
      </c>
      <c r="E553" s="49">
        <v>44119</v>
      </c>
      <c r="F553" s="31"/>
      <c r="G553" s="31"/>
    </row>
    <row r="554" spans="1:7" x14ac:dyDescent="0.35">
      <c r="A554" s="47">
        <v>1</v>
      </c>
      <c r="B554" s="48" t="s">
        <v>2026</v>
      </c>
      <c r="C554" s="48" t="s">
        <v>1976</v>
      </c>
      <c r="D554" s="48">
        <v>201015</v>
      </c>
      <c r="E554" s="49">
        <v>44119</v>
      </c>
      <c r="F554" s="31"/>
      <c r="G554" s="31"/>
    </row>
    <row r="555" spans="1:7" x14ac:dyDescent="0.35">
      <c r="A555" s="47">
        <v>1</v>
      </c>
      <c r="B555" s="48" t="s">
        <v>2050</v>
      </c>
      <c r="C555" s="48" t="s">
        <v>1976</v>
      </c>
      <c r="D555" s="48">
        <v>201015</v>
      </c>
      <c r="E555" s="49">
        <v>44119</v>
      </c>
      <c r="F555" s="31"/>
      <c r="G555" s="31"/>
    </row>
    <row r="556" spans="1:7" x14ac:dyDescent="0.35">
      <c r="A556" s="47">
        <v>1</v>
      </c>
      <c r="B556" s="48" t="s">
        <v>2052</v>
      </c>
      <c r="C556" s="48" t="s">
        <v>1976</v>
      </c>
      <c r="D556" s="48">
        <v>201015</v>
      </c>
      <c r="E556" s="49">
        <v>44119</v>
      </c>
      <c r="F556" s="31"/>
      <c r="G556" s="31"/>
    </row>
    <row r="557" spans="1:7" x14ac:dyDescent="0.35">
      <c r="A557" s="47">
        <v>1</v>
      </c>
      <c r="B557" s="48" t="s">
        <v>2057</v>
      </c>
      <c r="C557" s="48" t="s">
        <v>1976</v>
      </c>
      <c r="D557" s="48">
        <v>201015</v>
      </c>
      <c r="E557" s="49">
        <v>44119</v>
      </c>
      <c r="F557" s="31"/>
      <c r="G557" s="31"/>
    </row>
    <row r="558" spans="1:7" x14ac:dyDescent="0.35">
      <c r="A558" s="47">
        <v>1</v>
      </c>
      <c r="B558" s="48" t="s">
        <v>2059</v>
      </c>
      <c r="C558" s="48" t="s">
        <v>1976</v>
      </c>
      <c r="D558" s="48">
        <v>201015</v>
      </c>
      <c r="E558" s="49">
        <v>44119</v>
      </c>
      <c r="F558" s="31"/>
      <c r="G558" s="31"/>
    </row>
    <row r="559" spans="1:7" x14ac:dyDescent="0.35">
      <c r="A559" s="47">
        <v>1</v>
      </c>
      <c r="B559" s="48" t="s">
        <v>2060</v>
      </c>
      <c r="C559" s="48" t="s">
        <v>1976</v>
      </c>
      <c r="D559" s="48">
        <v>201015</v>
      </c>
      <c r="E559" s="49">
        <v>44119</v>
      </c>
      <c r="F559" s="31"/>
      <c r="G559" s="31"/>
    </row>
    <row r="560" spans="1:7" x14ac:dyDescent="0.35">
      <c r="A560" s="47">
        <v>1</v>
      </c>
      <c r="B560" s="48" t="s">
        <v>2061</v>
      </c>
      <c r="C560" s="48" t="s">
        <v>1976</v>
      </c>
      <c r="D560" s="48">
        <v>201015</v>
      </c>
      <c r="E560" s="49">
        <v>44119</v>
      </c>
      <c r="F560" s="31"/>
      <c r="G560" s="31"/>
    </row>
    <row r="561" spans="1:7" x14ac:dyDescent="0.35">
      <c r="A561" s="47">
        <v>1</v>
      </c>
      <c r="B561" s="48" t="s">
        <v>2122</v>
      </c>
      <c r="C561" s="48" t="s">
        <v>1976</v>
      </c>
      <c r="D561" s="48">
        <v>201015</v>
      </c>
      <c r="E561" s="49">
        <v>44119</v>
      </c>
      <c r="F561" s="31"/>
      <c r="G561" s="31"/>
    </row>
    <row r="562" spans="1:7" x14ac:dyDescent="0.35">
      <c r="A562" s="47">
        <v>1</v>
      </c>
      <c r="B562" s="48" t="s">
        <v>2167</v>
      </c>
      <c r="C562" s="48" t="s">
        <v>1976</v>
      </c>
      <c r="D562" s="48">
        <v>201015</v>
      </c>
      <c r="E562" s="49">
        <v>44119</v>
      </c>
      <c r="F562" s="31"/>
      <c r="G562" s="31"/>
    </row>
    <row r="563" spans="1:7" x14ac:dyDescent="0.35">
      <c r="A563" s="47">
        <v>1</v>
      </c>
      <c r="B563" s="48" t="s">
        <v>2195</v>
      </c>
      <c r="C563" s="48" t="s">
        <v>1976</v>
      </c>
      <c r="D563" s="48">
        <v>201015</v>
      </c>
      <c r="E563" s="49">
        <v>44119</v>
      </c>
      <c r="F563" s="31"/>
      <c r="G563" s="31"/>
    </row>
    <row r="564" spans="1:7" x14ac:dyDescent="0.35">
      <c r="A564" s="47">
        <v>1</v>
      </c>
      <c r="B564" s="48" t="s">
        <v>2210</v>
      </c>
      <c r="C564" s="48" t="s">
        <v>1976</v>
      </c>
      <c r="D564" s="48">
        <v>201015</v>
      </c>
      <c r="E564" s="49">
        <v>44119</v>
      </c>
      <c r="F564" s="31"/>
      <c r="G564" s="31"/>
    </row>
    <row r="565" spans="1:7" x14ac:dyDescent="0.35">
      <c r="A565" s="47">
        <v>1</v>
      </c>
      <c r="B565" s="48" t="s">
        <v>2236</v>
      </c>
      <c r="C565" s="48" t="s">
        <v>1976</v>
      </c>
      <c r="D565" s="48">
        <v>201015</v>
      </c>
      <c r="E565" s="49">
        <v>44119</v>
      </c>
      <c r="F565" s="31"/>
      <c r="G565" s="31"/>
    </row>
    <row r="566" spans="1:7" x14ac:dyDescent="0.35">
      <c r="A566" s="47">
        <v>1</v>
      </c>
      <c r="B566" s="48" t="s">
        <v>2240</v>
      </c>
      <c r="C566" s="48" t="s">
        <v>1976</v>
      </c>
      <c r="D566" s="48">
        <v>201015</v>
      </c>
      <c r="E566" s="49">
        <v>44119</v>
      </c>
      <c r="F566" s="31"/>
      <c r="G566" s="31"/>
    </row>
    <row r="567" spans="1:7" x14ac:dyDescent="0.35">
      <c r="A567" s="47">
        <v>1</v>
      </c>
      <c r="B567" s="48" t="s">
        <v>2242</v>
      </c>
      <c r="C567" s="48" t="s">
        <v>1976</v>
      </c>
      <c r="D567" s="48">
        <v>201015</v>
      </c>
      <c r="E567" s="49">
        <v>44119</v>
      </c>
      <c r="F567" s="31"/>
      <c r="G567" s="31"/>
    </row>
    <row r="568" spans="1:7" x14ac:dyDescent="0.35">
      <c r="A568" s="47">
        <v>1</v>
      </c>
      <c r="B568" s="48" t="s">
        <v>2263</v>
      </c>
      <c r="C568" s="48" t="s">
        <v>1968</v>
      </c>
      <c r="D568" s="48">
        <v>201020</v>
      </c>
      <c r="E568" s="49">
        <v>44124</v>
      </c>
      <c r="F568" s="31"/>
      <c r="G568" s="31"/>
    </row>
    <row r="569" spans="1:7" x14ac:dyDescent="0.35">
      <c r="A569" s="47">
        <v>1</v>
      </c>
      <c r="B569" s="48" t="s">
        <v>2264</v>
      </c>
      <c r="C569" s="48" t="s">
        <v>1968</v>
      </c>
      <c r="D569" s="48">
        <v>201020</v>
      </c>
      <c r="E569" s="49">
        <v>44124</v>
      </c>
      <c r="F569" s="31"/>
      <c r="G569" s="31"/>
    </row>
    <row r="570" spans="1:7" x14ac:dyDescent="0.35">
      <c r="A570" s="47">
        <v>1</v>
      </c>
      <c r="B570" s="48" t="s">
        <v>2235</v>
      </c>
      <c r="C570" s="48" t="s">
        <v>1970</v>
      </c>
      <c r="D570" s="48">
        <v>201020</v>
      </c>
      <c r="E570" s="49">
        <v>44124</v>
      </c>
      <c r="F570" s="31"/>
      <c r="G570" s="31"/>
    </row>
    <row r="571" spans="1:7" x14ac:dyDescent="0.35">
      <c r="A571" s="47">
        <v>1</v>
      </c>
      <c r="B571" s="48" t="s">
        <v>2265</v>
      </c>
      <c r="C571" s="48" t="s">
        <v>1968</v>
      </c>
      <c r="D571" s="48">
        <v>201102</v>
      </c>
      <c r="E571" s="49">
        <v>44137</v>
      </c>
      <c r="F571" s="31"/>
      <c r="G571" s="31"/>
    </row>
    <row r="572" spans="1:7" x14ac:dyDescent="0.35">
      <c r="A572" s="47">
        <v>1</v>
      </c>
      <c r="B572" s="48" t="s">
        <v>2255</v>
      </c>
      <c r="C572" s="48" t="s">
        <v>1975</v>
      </c>
      <c r="D572" s="48">
        <v>201102</v>
      </c>
      <c r="E572" s="49">
        <v>44137</v>
      </c>
      <c r="F572" s="31"/>
      <c r="G572" s="31"/>
    </row>
    <row r="573" spans="1:7" x14ac:dyDescent="0.35">
      <c r="A573" s="47">
        <v>1</v>
      </c>
      <c r="B573" s="48" t="s">
        <v>2234</v>
      </c>
      <c r="C573" s="48" t="s">
        <v>1976</v>
      </c>
      <c r="D573" s="48">
        <v>201102</v>
      </c>
      <c r="E573" s="49">
        <v>44137</v>
      </c>
      <c r="F573" s="31"/>
      <c r="G573" s="31"/>
    </row>
    <row r="574" spans="1:7" x14ac:dyDescent="0.35">
      <c r="A574" s="47">
        <v>1</v>
      </c>
      <c r="B574" s="48" t="s">
        <v>2257</v>
      </c>
      <c r="C574" s="48" t="s">
        <v>1976</v>
      </c>
      <c r="D574" s="48">
        <v>201102</v>
      </c>
      <c r="E574" s="49">
        <v>44137</v>
      </c>
      <c r="F574" s="31"/>
      <c r="G574" s="31"/>
    </row>
    <row r="575" spans="1:7" x14ac:dyDescent="0.35">
      <c r="A575" s="47">
        <v>1</v>
      </c>
      <c r="B575" s="48" t="s">
        <v>2266</v>
      </c>
      <c r="C575" s="48" t="s">
        <v>1968</v>
      </c>
      <c r="D575" s="48">
        <v>201119</v>
      </c>
      <c r="E575" s="49">
        <v>44154</v>
      </c>
      <c r="F575" s="31"/>
      <c r="G575" s="31"/>
    </row>
    <row r="576" spans="1:7" x14ac:dyDescent="0.35">
      <c r="A576" s="47">
        <v>1</v>
      </c>
      <c r="B576" s="48" t="s">
        <v>2267</v>
      </c>
      <c r="C576" s="48" t="s">
        <v>1968</v>
      </c>
      <c r="D576" s="48">
        <v>201119</v>
      </c>
      <c r="E576" s="49">
        <v>44154</v>
      </c>
      <c r="F576" s="31"/>
      <c r="G576" s="31"/>
    </row>
    <row r="577" spans="1:7" x14ac:dyDescent="0.35">
      <c r="A577" s="47">
        <v>1</v>
      </c>
      <c r="B577" s="48" t="s">
        <v>2268</v>
      </c>
      <c r="C577" s="48" t="s">
        <v>1968</v>
      </c>
      <c r="D577" s="48">
        <v>201119</v>
      </c>
      <c r="E577" s="49">
        <v>44154</v>
      </c>
      <c r="F577" s="31"/>
      <c r="G577" s="31"/>
    </row>
    <row r="578" spans="1:7" x14ac:dyDescent="0.35">
      <c r="A578" s="47">
        <v>1</v>
      </c>
      <c r="B578" s="48" t="s">
        <v>2174</v>
      </c>
      <c r="C578" s="48" t="s">
        <v>1970</v>
      </c>
      <c r="D578" s="48">
        <v>201119</v>
      </c>
      <c r="E578" s="49">
        <v>44154</v>
      </c>
      <c r="F578" s="31"/>
      <c r="G578" s="31"/>
    </row>
    <row r="579" spans="1:7" x14ac:dyDescent="0.35">
      <c r="A579" s="47">
        <v>1</v>
      </c>
      <c r="B579" s="48" t="s">
        <v>2035</v>
      </c>
      <c r="C579" s="48" t="s">
        <v>1975</v>
      </c>
      <c r="D579" s="48">
        <v>201119</v>
      </c>
      <c r="E579" s="49">
        <v>44154</v>
      </c>
      <c r="F579" s="31"/>
      <c r="G579" s="31"/>
    </row>
    <row r="580" spans="1:7" x14ac:dyDescent="0.35">
      <c r="A580" s="47">
        <v>1</v>
      </c>
      <c r="B580" s="48" t="s">
        <v>2061</v>
      </c>
      <c r="C580" s="48" t="s">
        <v>1976</v>
      </c>
      <c r="D580" s="48">
        <v>201119</v>
      </c>
      <c r="E580" s="49">
        <v>44154</v>
      </c>
      <c r="F580" s="31"/>
      <c r="G580" s="31"/>
    </row>
    <row r="581" spans="1:7" x14ac:dyDescent="0.35">
      <c r="A581" s="47">
        <v>1</v>
      </c>
      <c r="B581" s="48" t="s">
        <v>2156</v>
      </c>
      <c r="C581" s="48" t="s">
        <v>1976</v>
      </c>
      <c r="D581" s="48">
        <v>201119</v>
      </c>
      <c r="E581" s="49">
        <v>44154</v>
      </c>
      <c r="F581" s="31"/>
      <c r="G581" s="31"/>
    </row>
    <row r="582" spans="1:7" x14ac:dyDescent="0.35">
      <c r="A582" s="47">
        <v>1</v>
      </c>
      <c r="B582" s="48" t="s">
        <v>2171</v>
      </c>
      <c r="C582" s="48" t="s">
        <v>1976</v>
      </c>
      <c r="D582" s="48">
        <v>201119</v>
      </c>
      <c r="E582" s="49">
        <v>44154</v>
      </c>
      <c r="F582" s="31"/>
      <c r="G582" s="31"/>
    </row>
    <row r="583" spans="1:7" x14ac:dyDescent="0.35">
      <c r="A583" s="47">
        <v>1</v>
      </c>
      <c r="B583" s="48" t="s">
        <v>2181</v>
      </c>
      <c r="C583" s="48" t="s">
        <v>1976</v>
      </c>
      <c r="D583" s="48">
        <v>201119</v>
      </c>
      <c r="E583" s="49">
        <v>44154</v>
      </c>
      <c r="F583" s="31"/>
      <c r="G583" s="31"/>
    </row>
    <row r="584" spans="1:7" x14ac:dyDescent="0.35">
      <c r="A584" s="47">
        <v>1</v>
      </c>
      <c r="B584" s="48" t="s">
        <v>2204</v>
      </c>
      <c r="C584" s="48" t="s">
        <v>1976</v>
      </c>
      <c r="D584" s="48">
        <v>201119</v>
      </c>
      <c r="E584" s="49">
        <v>44154</v>
      </c>
      <c r="F584" s="31"/>
      <c r="G584" s="31"/>
    </row>
    <row r="585" spans="1:7" x14ac:dyDescent="0.35">
      <c r="A585" s="47">
        <v>1</v>
      </c>
      <c r="B585" s="48" t="s">
        <v>2207</v>
      </c>
      <c r="C585" s="48" t="s">
        <v>1976</v>
      </c>
      <c r="D585" s="48">
        <v>201119</v>
      </c>
      <c r="E585" s="49">
        <v>44154</v>
      </c>
      <c r="F585" s="31"/>
      <c r="G585" s="31"/>
    </row>
    <row r="586" spans="1:7" x14ac:dyDescent="0.35">
      <c r="A586" s="47">
        <v>1</v>
      </c>
      <c r="B586" s="48" t="s">
        <v>2221</v>
      </c>
      <c r="C586" s="48" t="s">
        <v>1976</v>
      </c>
      <c r="D586" s="48">
        <v>201119</v>
      </c>
      <c r="E586" s="49">
        <v>44154</v>
      </c>
      <c r="F586" s="31"/>
      <c r="G586" s="31"/>
    </row>
    <row r="587" spans="1:7" x14ac:dyDescent="0.35">
      <c r="A587" s="47">
        <v>1</v>
      </c>
      <c r="B587" s="48" t="s">
        <v>2234</v>
      </c>
      <c r="C587" s="48" t="s">
        <v>1976</v>
      </c>
      <c r="D587" s="48">
        <v>201119</v>
      </c>
      <c r="E587" s="49">
        <v>44154</v>
      </c>
      <c r="F587" s="31"/>
      <c r="G587" s="31"/>
    </row>
    <row r="588" spans="1:7" x14ac:dyDescent="0.35">
      <c r="A588" s="47">
        <v>1</v>
      </c>
      <c r="B588" s="48" t="s">
        <v>2239</v>
      </c>
      <c r="C588" s="48" t="s">
        <v>1976</v>
      </c>
      <c r="D588" s="48">
        <v>201119</v>
      </c>
      <c r="E588" s="49">
        <v>44154</v>
      </c>
      <c r="F588" s="31"/>
      <c r="G588" s="31"/>
    </row>
    <row r="589" spans="1:7" x14ac:dyDescent="0.35">
      <c r="A589" s="47">
        <v>1</v>
      </c>
      <c r="B589" s="48" t="s">
        <v>2241</v>
      </c>
      <c r="C589" s="48" t="s">
        <v>1976</v>
      </c>
      <c r="D589" s="48">
        <v>201119</v>
      </c>
      <c r="E589" s="49">
        <v>44154</v>
      </c>
      <c r="F589" s="31"/>
      <c r="G589" s="31"/>
    </row>
    <row r="590" spans="1:7" x14ac:dyDescent="0.35">
      <c r="A590" s="47">
        <v>1</v>
      </c>
      <c r="B590" s="48" t="s">
        <v>2242</v>
      </c>
      <c r="C590" s="48" t="s">
        <v>1976</v>
      </c>
      <c r="D590" s="48">
        <v>201119</v>
      </c>
      <c r="E590" s="49">
        <v>44154</v>
      </c>
      <c r="F590" s="31"/>
      <c r="G590" s="31"/>
    </row>
    <row r="591" spans="1:7" x14ac:dyDescent="0.35">
      <c r="A591" s="47">
        <v>1</v>
      </c>
      <c r="B591" s="48" t="s">
        <v>2248</v>
      </c>
      <c r="C591" s="48" t="s">
        <v>1976</v>
      </c>
      <c r="D591" s="48">
        <v>201119</v>
      </c>
      <c r="E591" s="49">
        <v>44154</v>
      </c>
      <c r="F591" s="31"/>
      <c r="G591" s="31"/>
    </row>
    <row r="592" spans="1:7" x14ac:dyDescent="0.35">
      <c r="A592" s="47">
        <v>1</v>
      </c>
      <c r="B592" s="48" t="s">
        <v>2253</v>
      </c>
      <c r="C592" s="48" t="s">
        <v>1976</v>
      </c>
      <c r="D592" s="48">
        <v>201119</v>
      </c>
      <c r="E592" s="49">
        <v>44154</v>
      </c>
      <c r="F592" s="31"/>
      <c r="G592" s="31"/>
    </row>
    <row r="593" spans="1:7" x14ac:dyDescent="0.35">
      <c r="A593" s="47">
        <v>1</v>
      </c>
      <c r="B593" s="48" t="s">
        <v>2269</v>
      </c>
      <c r="C593" s="48" t="s">
        <v>1968</v>
      </c>
      <c r="D593" s="48">
        <v>201130</v>
      </c>
      <c r="E593" s="49">
        <v>44165</v>
      </c>
      <c r="F593" s="31"/>
      <c r="G593" s="31"/>
    </row>
    <row r="594" spans="1:7" x14ac:dyDescent="0.35">
      <c r="A594" s="47">
        <v>1</v>
      </c>
      <c r="B594" s="48" t="s">
        <v>2262</v>
      </c>
      <c r="C594" s="48" t="s">
        <v>1976</v>
      </c>
      <c r="D594" s="48">
        <v>201130</v>
      </c>
      <c r="E594" s="49">
        <v>44165</v>
      </c>
      <c r="F594" s="31"/>
      <c r="G594" s="31"/>
    </row>
    <row r="595" spans="1:7" x14ac:dyDescent="0.35">
      <c r="A595" s="47">
        <v>1</v>
      </c>
      <c r="B595" s="48" t="s">
        <v>2270</v>
      </c>
      <c r="C595" s="48" t="s">
        <v>1968</v>
      </c>
      <c r="D595" s="48">
        <v>201210</v>
      </c>
      <c r="E595" s="49">
        <v>44175</v>
      </c>
      <c r="F595" s="31"/>
      <c r="G595" s="31"/>
    </row>
    <row r="596" spans="1:7" x14ac:dyDescent="0.35">
      <c r="A596" s="47">
        <v>1</v>
      </c>
      <c r="B596" s="48" t="s">
        <v>2271</v>
      </c>
      <c r="C596" s="48" t="s">
        <v>1968</v>
      </c>
      <c r="D596" s="48">
        <v>201210</v>
      </c>
      <c r="E596" s="49">
        <v>44175</v>
      </c>
      <c r="F596" s="31"/>
      <c r="G596" s="31"/>
    </row>
    <row r="597" spans="1:7" x14ac:dyDescent="0.35">
      <c r="A597" s="47">
        <v>1</v>
      </c>
      <c r="B597" s="48" t="s">
        <v>2272</v>
      </c>
      <c r="C597" s="48" t="s">
        <v>1968</v>
      </c>
      <c r="D597" s="48">
        <v>201210</v>
      </c>
      <c r="E597" s="49">
        <v>44175</v>
      </c>
      <c r="F597" s="31"/>
      <c r="G597" s="31"/>
    </row>
    <row r="598" spans="1:7" x14ac:dyDescent="0.35">
      <c r="A598" s="47">
        <v>1</v>
      </c>
      <c r="B598" s="48" t="s">
        <v>2273</v>
      </c>
      <c r="C598" s="48" t="s">
        <v>1968</v>
      </c>
      <c r="D598" s="48">
        <v>201210</v>
      </c>
      <c r="E598" s="49">
        <v>44175</v>
      </c>
      <c r="F598" s="31"/>
      <c r="G598" s="31"/>
    </row>
    <row r="599" spans="1:7" x14ac:dyDescent="0.35">
      <c r="A599" s="47">
        <v>1</v>
      </c>
      <c r="B599" s="48" t="s">
        <v>2274</v>
      </c>
      <c r="C599" s="48" t="s">
        <v>1968</v>
      </c>
      <c r="D599" s="48">
        <v>201210</v>
      </c>
      <c r="E599" s="49">
        <v>44175</v>
      </c>
      <c r="F599" s="31"/>
      <c r="G599" s="31"/>
    </row>
    <row r="600" spans="1:7" x14ac:dyDescent="0.35">
      <c r="A600" s="47">
        <v>1</v>
      </c>
      <c r="B600" s="48" t="s">
        <v>2275</v>
      </c>
      <c r="C600" s="48" t="s">
        <v>1968</v>
      </c>
      <c r="D600" s="48">
        <v>201210</v>
      </c>
      <c r="E600" s="49">
        <v>44175</v>
      </c>
      <c r="F600" s="31"/>
      <c r="G600" s="31"/>
    </row>
    <row r="601" spans="1:7" x14ac:dyDescent="0.35">
      <c r="A601" s="47">
        <v>1</v>
      </c>
      <c r="B601" s="48" t="s">
        <v>2276</v>
      </c>
      <c r="C601" s="48" t="s">
        <v>1968</v>
      </c>
      <c r="D601" s="48">
        <v>201210</v>
      </c>
      <c r="E601" s="49">
        <v>44175</v>
      </c>
      <c r="F601" s="31"/>
      <c r="G601" s="31"/>
    </row>
    <row r="602" spans="1:7" x14ac:dyDescent="0.35">
      <c r="A602" s="47">
        <v>1</v>
      </c>
      <c r="B602" s="48" t="s">
        <v>2277</v>
      </c>
      <c r="C602" s="48" t="s">
        <v>1968</v>
      </c>
      <c r="D602" s="48">
        <v>201210</v>
      </c>
      <c r="E602" s="49">
        <v>44175</v>
      </c>
      <c r="F602" s="31"/>
      <c r="G602" s="31"/>
    </row>
    <row r="603" spans="1:7" x14ac:dyDescent="0.35">
      <c r="A603" s="47">
        <v>1</v>
      </c>
      <c r="B603" s="48" t="s">
        <v>2278</v>
      </c>
      <c r="C603" s="48" t="s">
        <v>1968</v>
      </c>
      <c r="D603" s="48">
        <v>201210</v>
      </c>
      <c r="E603" s="49">
        <v>44175</v>
      </c>
      <c r="F603" s="31"/>
      <c r="G603" s="31"/>
    </row>
    <row r="604" spans="1:7" x14ac:dyDescent="0.35">
      <c r="A604" s="47">
        <v>1</v>
      </c>
      <c r="B604" s="48" t="s">
        <v>2279</v>
      </c>
      <c r="C604" s="48" t="s">
        <v>1968</v>
      </c>
      <c r="D604" s="48">
        <v>201210</v>
      </c>
      <c r="E604" s="49">
        <v>44175</v>
      </c>
      <c r="F604" s="31"/>
      <c r="G604" s="31"/>
    </row>
    <row r="605" spans="1:7" x14ac:dyDescent="0.35">
      <c r="A605" s="47">
        <v>1</v>
      </c>
      <c r="B605" s="48" t="s">
        <v>2280</v>
      </c>
      <c r="C605" s="48" t="s">
        <v>1968</v>
      </c>
      <c r="D605" s="48">
        <v>201210</v>
      </c>
      <c r="E605" s="49">
        <v>44175</v>
      </c>
      <c r="F605" s="31"/>
      <c r="G605" s="31"/>
    </row>
    <row r="606" spans="1:7" x14ac:dyDescent="0.35">
      <c r="A606" s="47">
        <v>1</v>
      </c>
      <c r="B606" s="48" t="s">
        <v>2281</v>
      </c>
      <c r="C606" s="48" t="s">
        <v>1968</v>
      </c>
      <c r="D606" s="48">
        <v>201210</v>
      </c>
      <c r="E606" s="49">
        <v>44175</v>
      </c>
      <c r="F606" s="31"/>
      <c r="G606" s="31"/>
    </row>
    <row r="607" spans="1:7" x14ac:dyDescent="0.35">
      <c r="A607" s="47">
        <v>1</v>
      </c>
      <c r="B607" s="48" t="s">
        <v>2282</v>
      </c>
      <c r="C607" s="48" t="s">
        <v>1968</v>
      </c>
      <c r="D607" s="48">
        <v>201210</v>
      </c>
      <c r="E607" s="49">
        <v>44175</v>
      </c>
      <c r="F607" s="31"/>
      <c r="G607" s="31"/>
    </row>
    <row r="608" spans="1:7" hidden="1" x14ac:dyDescent="0.35">
      <c r="A608" s="47">
        <v>1</v>
      </c>
      <c r="B608" s="48" t="s">
        <v>441</v>
      </c>
      <c r="C608" s="48" t="s">
        <v>1969</v>
      </c>
      <c r="D608" s="48">
        <v>201210</v>
      </c>
      <c r="E608" s="49">
        <v>44175</v>
      </c>
      <c r="F608" s="31"/>
      <c r="G608" s="31"/>
    </row>
    <row r="609" spans="1:7" hidden="1" x14ac:dyDescent="0.35">
      <c r="A609" s="47">
        <v>1</v>
      </c>
      <c r="B609" s="48" t="s">
        <v>447</v>
      </c>
      <c r="C609" s="48" t="s">
        <v>1969</v>
      </c>
      <c r="D609" s="48">
        <v>201210</v>
      </c>
      <c r="E609" s="49">
        <v>44175</v>
      </c>
      <c r="F609" s="31"/>
      <c r="G609" s="31"/>
    </row>
    <row r="610" spans="1:7" hidden="1" x14ac:dyDescent="0.35">
      <c r="A610" s="47">
        <v>1</v>
      </c>
      <c r="B610" s="48" t="s">
        <v>452</v>
      </c>
      <c r="C610" s="48" t="s">
        <v>1969</v>
      </c>
      <c r="D610" s="48">
        <v>201210</v>
      </c>
      <c r="E610" s="49">
        <v>44175</v>
      </c>
      <c r="F610" s="31"/>
      <c r="G610" s="31"/>
    </row>
    <row r="611" spans="1:7" hidden="1" x14ac:dyDescent="0.35">
      <c r="A611" s="47">
        <v>1</v>
      </c>
      <c r="B611" s="48" t="s">
        <v>457</v>
      </c>
      <c r="C611" s="48" t="s">
        <v>1969</v>
      </c>
      <c r="D611" s="48">
        <v>201210</v>
      </c>
      <c r="E611" s="49">
        <v>44175</v>
      </c>
      <c r="F611" s="31"/>
      <c r="G611" s="31"/>
    </row>
    <row r="612" spans="1:7" hidden="1" x14ac:dyDescent="0.35">
      <c r="A612" s="47">
        <v>1</v>
      </c>
      <c r="B612" s="48" t="s">
        <v>461</v>
      </c>
      <c r="C612" s="48" t="s">
        <v>1969</v>
      </c>
      <c r="D612" s="48">
        <v>201210</v>
      </c>
      <c r="E612" s="49">
        <v>44175</v>
      </c>
      <c r="F612" s="31"/>
      <c r="G612" s="31"/>
    </row>
    <row r="613" spans="1:7" hidden="1" x14ac:dyDescent="0.35">
      <c r="A613" s="47">
        <v>1</v>
      </c>
      <c r="B613" s="48" t="s">
        <v>465</v>
      </c>
      <c r="C613" s="48" t="s">
        <v>1969</v>
      </c>
      <c r="D613" s="48">
        <v>201210</v>
      </c>
      <c r="E613" s="49">
        <v>44175</v>
      </c>
      <c r="F613" s="31"/>
      <c r="G613" s="31"/>
    </row>
    <row r="614" spans="1:7" hidden="1" x14ac:dyDescent="0.35">
      <c r="A614" s="47">
        <v>1</v>
      </c>
      <c r="B614" s="48" t="s">
        <v>2283</v>
      </c>
      <c r="C614" s="48" t="s">
        <v>1969</v>
      </c>
      <c r="D614" s="48">
        <v>201210</v>
      </c>
      <c r="E614" s="49">
        <v>44175</v>
      </c>
      <c r="F614" s="31"/>
      <c r="G614" s="31"/>
    </row>
    <row r="615" spans="1:7" x14ac:dyDescent="0.35">
      <c r="A615" s="47">
        <v>1</v>
      </c>
      <c r="B615" s="48" t="s">
        <v>2026</v>
      </c>
      <c r="C615" s="48" t="s">
        <v>1970</v>
      </c>
      <c r="D615" s="48">
        <v>201210</v>
      </c>
      <c r="E615" s="49">
        <v>44175</v>
      </c>
      <c r="F615" s="31"/>
      <c r="G615" s="31"/>
    </row>
    <row r="616" spans="1:7" x14ac:dyDescent="0.35">
      <c r="A616" s="47">
        <v>1</v>
      </c>
      <c r="B616" s="48" t="s">
        <v>2050</v>
      </c>
      <c r="C616" s="48" t="s">
        <v>1970</v>
      </c>
      <c r="D616" s="48">
        <v>201210</v>
      </c>
      <c r="E616" s="49">
        <v>44175</v>
      </c>
      <c r="F616" s="31"/>
      <c r="G616" s="31"/>
    </row>
    <row r="617" spans="1:7" x14ac:dyDescent="0.35">
      <c r="A617" s="47">
        <v>1</v>
      </c>
      <c r="B617" s="48" t="s">
        <v>2052</v>
      </c>
      <c r="C617" s="48" t="s">
        <v>1970</v>
      </c>
      <c r="D617" s="48">
        <v>201210</v>
      </c>
      <c r="E617" s="49">
        <v>44175</v>
      </c>
      <c r="F617" s="31"/>
      <c r="G617" s="31"/>
    </row>
    <row r="618" spans="1:7" x14ac:dyDescent="0.35">
      <c r="A618" s="47">
        <v>1</v>
      </c>
      <c r="B618" s="48" t="s">
        <v>2053</v>
      </c>
      <c r="C618" s="48" t="s">
        <v>1970</v>
      </c>
      <c r="D618" s="48">
        <v>201210</v>
      </c>
      <c r="E618" s="49">
        <v>44175</v>
      </c>
      <c r="F618" s="31"/>
      <c r="G618" s="31"/>
    </row>
    <row r="619" spans="1:7" x14ac:dyDescent="0.35">
      <c r="A619" s="47">
        <v>1</v>
      </c>
      <c r="B619" s="48" t="s">
        <v>2057</v>
      </c>
      <c r="C619" s="48" t="s">
        <v>1970</v>
      </c>
      <c r="D619" s="48">
        <v>201210</v>
      </c>
      <c r="E619" s="49">
        <v>44175</v>
      </c>
      <c r="F619" s="31"/>
      <c r="G619" s="31"/>
    </row>
    <row r="620" spans="1:7" x14ac:dyDescent="0.35">
      <c r="A620" s="47">
        <v>1</v>
      </c>
      <c r="B620" s="48" t="s">
        <v>2059</v>
      </c>
      <c r="C620" s="48" t="s">
        <v>1970</v>
      </c>
      <c r="D620" s="48">
        <v>201210</v>
      </c>
      <c r="E620" s="49">
        <v>44175</v>
      </c>
      <c r="F620" s="31"/>
      <c r="G620" s="31"/>
    </row>
    <row r="621" spans="1:7" x14ac:dyDescent="0.35">
      <c r="A621" s="47">
        <v>1</v>
      </c>
      <c r="B621" s="48" t="s">
        <v>2060</v>
      </c>
      <c r="C621" s="48" t="s">
        <v>1970</v>
      </c>
      <c r="D621" s="48">
        <v>201210</v>
      </c>
      <c r="E621" s="49">
        <v>44175</v>
      </c>
      <c r="F621" s="31"/>
      <c r="G621" s="31"/>
    </row>
    <row r="622" spans="1:7" x14ac:dyDescent="0.35">
      <c r="A622" s="47">
        <v>1</v>
      </c>
      <c r="B622" s="48" t="s">
        <v>2061</v>
      </c>
      <c r="C622" s="48" t="s">
        <v>1970</v>
      </c>
      <c r="D622" s="48">
        <v>201210</v>
      </c>
      <c r="E622" s="49">
        <v>44175</v>
      </c>
      <c r="F622" s="31"/>
      <c r="G622" s="31"/>
    </row>
    <row r="623" spans="1:7" x14ac:dyDescent="0.35">
      <c r="A623" s="47">
        <v>1</v>
      </c>
      <c r="B623" s="48" t="s">
        <v>2114</v>
      </c>
      <c r="C623" s="48" t="s">
        <v>1970</v>
      </c>
      <c r="D623" s="48">
        <v>201210</v>
      </c>
      <c r="E623" s="49">
        <v>44175</v>
      </c>
      <c r="F623" s="31"/>
      <c r="G623" s="31"/>
    </row>
    <row r="624" spans="1:7" x14ac:dyDescent="0.35">
      <c r="A624" s="47">
        <v>1</v>
      </c>
      <c r="B624" s="48" t="s">
        <v>2122</v>
      </c>
      <c r="C624" s="48" t="s">
        <v>1970</v>
      </c>
      <c r="D624" s="48">
        <v>201210</v>
      </c>
      <c r="E624" s="49">
        <v>44175</v>
      </c>
      <c r="F624" s="31"/>
      <c r="G624" s="31"/>
    </row>
    <row r="625" spans="1:7" x14ac:dyDescent="0.35">
      <c r="A625" s="47">
        <v>1</v>
      </c>
      <c r="B625" s="48" t="s">
        <v>2125</v>
      </c>
      <c r="C625" s="48" t="s">
        <v>1970</v>
      </c>
      <c r="D625" s="48">
        <v>201210</v>
      </c>
      <c r="E625" s="49">
        <v>44175</v>
      </c>
      <c r="F625" s="31"/>
      <c r="G625" s="31"/>
    </row>
    <row r="626" spans="1:7" x14ac:dyDescent="0.35">
      <c r="A626" s="47">
        <v>1</v>
      </c>
      <c r="B626" s="48" t="s">
        <v>2167</v>
      </c>
      <c r="C626" s="48" t="s">
        <v>1970</v>
      </c>
      <c r="D626" s="48">
        <v>201210</v>
      </c>
      <c r="E626" s="49">
        <v>44175</v>
      </c>
      <c r="F626" s="31"/>
      <c r="G626" s="31"/>
    </row>
    <row r="627" spans="1:7" x14ac:dyDescent="0.35">
      <c r="A627" s="47">
        <v>1</v>
      </c>
      <c r="B627" s="48" t="s">
        <v>2171</v>
      </c>
      <c r="C627" s="48" t="s">
        <v>1970</v>
      </c>
      <c r="D627" s="48">
        <v>201210</v>
      </c>
      <c r="E627" s="49">
        <v>44175</v>
      </c>
      <c r="F627" s="31"/>
      <c r="G627" s="31"/>
    </row>
    <row r="628" spans="1:7" x14ac:dyDescent="0.35">
      <c r="A628" s="47">
        <v>1</v>
      </c>
      <c r="B628" s="48" t="s">
        <v>2172</v>
      </c>
      <c r="C628" s="48" t="s">
        <v>1970</v>
      </c>
      <c r="D628" s="48">
        <v>201210</v>
      </c>
      <c r="E628" s="49">
        <v>44175</v>
      </c>
      <c r="F628" s="31"/>
      <c r="G628" s="31"/>
    </row>
    <row r="629" spans="1:7" x14ac:dyDescent="0.35">
      <c r="A629" s="47">
        <v>1</v>
      </c>
      <c r="B629" s="48" t="s">
        <v>2181</v>
      </c>
      <c r="C629" s="48" t="s">
        <v>1970</v>
      </c>
      <c r="D629" s="48">
        <v>201210</v>
      </c>
      <c r="E629" s="49">
        <v>44175</v>
      </c>
      <c r="F629" s="31"/>
      <c r="G629" s="31"/>
    </row>
    <row r="630" spans="1:7" x14ac:dyDescent="0.35">
      <c r="A630" s="47">
        <v>1</v>
      </c>
      <c r="B630" s="48" t="s">
        <v>2195</v>
      </c>
      <c r="C630" s="48" t="s">
        <v>1970</v>
      </c>
      <c r="D630" s="48">
        <v>201210</v>
      </c>
      <c r="E630" s="49">
        <v>44175</v>
      </c>
      <c r="F630" s="31"/>
      <c r="G630" s="31"/>
    </row>
    <row r="631" spans="1:7" x14ac:dyDescent="0.35">
      <c r="A631" s="47">
        <v>1</v>
      </c>
      <c r="B631" s="48" t="s">
        <v>2204</v>
      </c>
      <c r="C631" s="48" t="s">
        <v>1970</v>
      </c>
      <c r="D631" s="48">
        <v>201210</v>
      </c>
      <c r="E631" s="49">
        <v>44175</v>
      </c>
      <c r="F631" s="31"/>
      <c r="G631" s="31"/>
    </row>
    <row r="632" spans="1:7" x14ac:dyDescent="0.35">
      <c r="A632" s="47">
        <v>1</v>
      </c>
      <c r="B632" s="40" t="s">
        <v>2207</v>
      </c>
      <c r="C632" s="40" t="s">
        <v>1970</v>
      </c>
      <c r="D632" s="40">
        <v>201210</v>
      </c>
      <c r="E632" s="49">
        <v>44175</v>
      </c>
      <c r="F632" s="31"/>
      <c r="G632" s="31"/>
    </row>
    <row r="633" spans="1:7" x14ac:dyDescent="0.35">
      <c r="A633" s="47">
        <v>1</v>
      </c>
      <c r="B633" s="40" t="s">
        <v>2210</v>
      </c>
      <c r="C633" s="40" t="s">
        <v>1970</v>
      </c>
      <c r="D633" s="40">
        <v>201210</v>
      </c>
      <c r="E633" s="49">
        <v>44175</v>
      </c>
      <c r="F633" s="31"/>
      <c r="G633" s="31"/>
    </row>
    <row r="634" spans="1:7" x14ac:dyDescent="0.35">
      <c r="A634" s="47">
        <v>1</v>
      </c>
      <c r="B634" s="40" t="s">
        <v>2221</v>
      </c>
      <c r="C634" s="40" t="s">
        <v>1970</v>
      </c>
      <c r="D634" s="40">
        <v>201210</v>
      </c>
      <c r="E634" s="49">
        <v>44175</v>
      </c>
      <c r="F634" s="31"/>
      <c r="G634" s="31"/>
    </row>
    <row r="635" spans="1:7" x14ac:dyDescent="0.35">
      <c r="A635" s="47">
        <v>1</v>
      </c>
      <c r="B635" s="40" t="s">
        <v>2240</v>
      </c>
      <c r="C635" s="40" t="s">
        <v>1970</v>
      </c>
      <c r="D635" s="40">
        <v>201210</v>
      </c>
      <c r="E635" s="49">
        <v>44175</v>
      </c>
      <c r="F635" s="31"/>
      <c r="G635" s="31"/>
    </row>
    <row r="636" spans="1:7" x14ac:dyDescent="0.35">
      <c r="A636" s="47">
        <v>1</v>
      </c>
      <c r="B636" s="40" t="s">
        <v>2254</v>
      </c>
      <c r="C636" s="40" t="s">
        <v>1970</v>
      </c>
      <c r="D636" s="40">
        <v>201210</v>
      </c>
      <c r="E636" s="49">
        <v>44175</v>
      </c>
      <c r="F636" s="31"/>
      <c r="G636" s="31"/>
    </row>
    <row r="637" spans="1:7" x14ac:dyDescent="0.35">
      <c r="A637" s="47">
        <v>1</v>
      </c>
      <c r="B637" s="40" t="s">
        <v>2255</v>
      </c>
      <c r="C637" s="40" t="s">
        <v>1970</v>
      </c>
      <c r="D637" s="40">
        <v>201210</v>
      </c>
      <c r="E637" s="49">
        <v>44175</v>
      </c>
      <c r="F637" s="31"/>
      <c r="G637" s="31"/>
    </row>
    <row r="638" spans="1:7" x14ac:dyDescent="0.35">
      <c r="A638" s="47">
        <v>1</v>
      </c>
      <c r="B638" s="40" t="s">
        <v>2258</v>
      </c>
      <c r="C638" s="40" t="s">
        <v>1970</v>
      </c>
      <c r="D638" s="40">
        <v>201210</v>
      </c>
      <c r="E638" s="49">
        <v>44175</v>
      </c>
      <c r="F638" s="31"/>
      <c r="G638" s="31"/>
    </row>
    <row r="639" spans="1:7" x14ac:dyDescent="0.35">
      <c r="A639" s="47">
        <v>1</v>
      </c>
      <c r="B639" s="40" t="s">
        <v>2259</v>
      </c>
      <c r="C639" s="40" t="s">
        <v>1970</v>
      </c>
      <c r="D639" s="40">
        <v>201210</v>
      </c>
      <c r="E639" s="49">
        <v>44175</v>
      </c>
      <c r="F639" s="31"/>
      <c r="G639" s="31"/>
    </row>
    <row r="640" spans="1:7" x14ac:dyDescent="0.35">
      <c r="A640" s="47">
        <v>1</v>
      </c>
      <c r="B640" s="40" t="s">
        <v>2260</v>
      </c>
      <c r="C640" s="40" t="s">
        <v>1970</v>
      </c>
      <c r="D640" s="40">
        <v>201210</v>
      </c>
      <c r="E640" s="49">
        <v>44175</v>
      </c>
      <c r="F640" s="31"/>
      <c r="G640" s="31"/>
    </row>
    <row r="641" spans="1:7" x14ac:dyDescent="0.35">
      <c r="A641" s="47">
        <v>1</v>
      </c>
      <c r="B641" s="40" t="s">
        <v>2268</v>
      </c>
      <c r="C641" s="40" t="s">
        <v>1970</v>
      </c>
      <c r="D641" s="40">
        <v>201210</v>
      </c>
      <c r="E641" s="49">
        <v>44175</v>
      </c>
      <c r="F641" s="31"/>
      <c r="G641" s="31"/>
    </row>
    <row r="642" spans="1:7" x14ac:dyDescent="0.35">
      <c r="A642" s="47">
        <v>1</v>
      </c>
      <c r="B642" s="40" t="s">
        <v>2232</v>
      </c>
      <c r="C642" s="40" t="s">
        <v>1974</v>
      </c>
      <c r="D642" s="40">
        <v>201210</v>
      </c>
      <c r="E642" s="49">
        <v>44175</v>
      </c>
      <c r="F642" s="31"/>
      <c r="G642" s="31"/>
    </row>
    <row r="643" spans="1:7" x14ac:dyDescent="0.35">
      <c r="A643" s="47">
        <v>1</v>
      </c>
      <c r="B643" s="40" t="s">
        <v>2098</v>
      </c>
      <c r="C643" s="40" t="s">
        <v>1975</v>
      </c>
      <c r="D643" s="40">
        <v>201210</v>
      </c>
      <c r="E643" s="49">
        <v>44175</v>
      </c>
      <c r="F643" s="31"/>
      <c r="G643" s="31"/>
    </row>
    <row r="644" spans="1:7" x14ac:dyDescent="0.35">
      <c r="A644" s="47">
        <v>1</v>
      </c>
      <c r="B644" s="40" t="s">
        <v>2248</v>
      </c>
      <c r="C644" s="40" t="s">
        <v>1975</v>
      </c>
      <c r="D644" s="40">
        <v>201210</v>
      </c>
      <c r="E644" s="49">
        <v>44175</v>
      </c>
      <c r="F644" s="31"/>
      <c r="G644" s="31"/>
    </row>
    <row r="645" spans="1:7" x14ac:dyDescent="0.35">
      <c r="A645" s="47">
        <v>1</v>
      </c>
      <c r="B645" s="40" t="s">
        <v>2232</v>
      </c>
      <c r="C645" s="40" t="s">
        <v>1976</v>
      </c>
      <c r="D645" s="40">
        <v>201210</v>
      </c>
      <c r="E645" s="49">
        <v>44175</v>
      </c>
      <c r="F645" s="31"/>
      <c r="G645" s="31"/>
    </row>
    <row r="646" spans="1:7" x14ac:dyDescent="0.35">
      <c r="A646" s="47">
        <v>1</v>
      </c>
      <c r="B646" s="40" t="s">
        <v>2236</v>
      </c>
      <c r="C646" s="40" t="s">
        <v>1976</v>
      </c>
      <c r="D646" s="40">
        <v>201210</v>
      </c>
      <c r="E646" s="49">
        <v>44175</v>
      </c>
      <c r="F646" s="31"/>
      <c r="G646" s="31"/>
    </row>
    <row r="647" spans="1:7" x14ac:dyDescent="0.35">
      <c r="A647" s="47">
        <v>1</v>
      </c>
      <c r="B647" s="40" t="s">
        <v>2245</v>
      </c>
      <c r="C647" s="40" t="s">
        <v>1976</v>
      </c>
      <c r="D647" s="40">
        <v>201210</v>
      </c>
      <c r="E647" s="49">
        <v>44175</v>
      </c>
      <c r="F647" s="31"/>
      <c r="G647" s="31"/>
    </row>
    <row r="648" spans="1:7" x14ac:dyDescent="0.35">
      <c r="A648" s="47">
        <v>1</v>
      </c>
      <c r="B648" s="40" t="s">
        <v>2247</v>
      </c>
      <c r="C648" s="40" t="s">
        <v>1976</v>
      </c>
      <c r="D648" s="40">
        <v>201210</v>
      </c>
      <c r="E648" s="49">
        <v>44175</v>
      </c>
      <c r="F648" s="31"/>
      <c r="G648" s="31"/>
    </row>
    <row r="649" spans="1:7" x14ac:dyDescent="0.35">
      <c r="A649" s="47">
        <v>1</v>
      </c>
      <c r="B649" s="40" t="s">
        <v>2253</v>
      </c>
      <c r="C649" s="40" t="s">
        <v>1976</v>
      </c>
      <c r="D649" s="40">
        <v>201210</v>
      </c>
      <c r="E649" s="49">
        <v>44175</v>
      </c>
      <c r="F649" s="31"/>
      <c r="G649" s="31"/>
    </row>
    <row r="650" spans="1:7" x14ac:dyDescent="0.35">
      <c r="A650" s="47">
        <v>1</v>
      </c>
      <c r="B650" s="40" t="s">
        <v>2257</v>
      </c>
      <c r="C650" s="40" t="s">
        <v>1976</v>
      </c>
      <c r="D650" s="40">
        <v>201210</v>
      </c>
      <c r="E650" s="49">
        <v>44175</v>
      </c>
      <c r="F650" s="31"/>
      <c r="G650" s="31"/>
    </row>
    <row r="651" spans="1:7" x14ac:dyDescent="0.35">
      <c r="A651" s="47">
        <v>1</v>
      </c>
      <c r="B651" s="40" t="s">
        <v>2264</v>
      </c>
      <c r="C651" s="40" t="s">
        <v>1976</v>
      </c>
      <c r="D651" s="40">
        <v>201210</v>
      </c>
      <c r="E651" s="49">
        <v>44175</v>
      </c>
      <c r="F651" s="31"/>
      <c r="G651" s="31"/>
    </row>
    <row r="652" spans="1:7" x14ac:dyDescent="0.35">
      <c r="A652" s="47">
        <v>1</v>
      </c>
      <c r="B652" s="40" t="s">
        <v>2284</v>
      </c>
      <c r="C652" s="40" t="s">
        <v>1968</v>
      </c>
      <c r="D652" s="40">
        <v>201221</v>
      </c>
      <c r="E652" s="49">
        <v>44186</v>
      </c>
      <c r="F652" s="31"/>
      <c r="G652" s="31"/>
    </row>
    <row r="653" spans="1:7" x14ac:dyDescent="0.35">
      <c r="A653" s="47">
        <v>1</v>
      </c>
      <c r="B653" s="40" t="s">
        <v>2285</v>
      </c>
      <c r="C653" s="40" t="s">
        <v>1968</v>
      </c>
      <c r="D653" s="40">
        <v>201221</v>
      </c>
      <c r="E653" s="49">
        <v>44186</v>
      </c>
      <c r="F653" s="31"/>
      <c r="G653" s="31"/>
    </row>
    <row r="654" spans="1:7" x14ac:dyDescent="0.35">
      <c r="A654" s="47">
        <v>1</v>
      </c>
      <c r="B654" s="40" t="s">
        <v>2286</v>
      </c>
      <c r="C654" s="40" t="s">
        <v>1968</v>
      </c>
      <c r="D654" s="40">
        <v>201221</v>
      </c>
      <c r="E654" s="49">
        <v>44186</v>
      </c>
      <c r="F654" s="31"/>
      <c r="G654" s="31"/>
    </row>
    <row r="655" spans="1:7" x14ac:dyDescent="0.35">
      <c r="A655" s="47">
        <v>1</v>
      </c>
      <c r="B655" s="40" t="s">
        <v>2287</v>
      </c>
      <c r="C655" s="40" t="s">
        <v>1968</v>
      </c>
      <c r="D655" s="40">
        <v>201221</v>
      </c>
      <c r="E655" s="49">
        <v>44186</v>
      </c>
      <c r="F655" s="31"/>
      <c r="G655" s="31"/>
    </row>
    <row r="656" spans="1:7" x14ac:dyDescent="0.35">
      <c r="A656" s="47">
        <v>1</v>
      </c>
      <c r="B656" s="40" t="s">
        <v>2288</v>
      </c>
      <c r="C656" s="40" t="s">
        <v>1968</v>
      </c>
      <c r="D656" s="40">
        <v>201221</v>
      </c>
      <c r="E656" s="49">
        <v>44186</v>
      </c>
      <c r="F656" s="31"/>
      <c r="G656" s="31"/>
    </row>
    <row r="657" spans="1:7" hidden="1" x14ac:dyDescent="0.35">
      <c r="A657" s="47">
        <v>1</v>
      </c>
      <c r="B657" s="40" t="s">
        <v>2289</v>
      </c>
      <c r="C657" s="40" t="s">
        <v>1969</v>
      </c>
      <c r="D657" s="40">
        <v>201221</v>
      </c>
      <c r="E657" s="49">
        <v>44186</v>
      </c>
      <c r="F657" s="31"/>
      <c r="G657" s="31"/>
    </row>
    <row r="658" spans="1:7" hidden="1" x14ac:dyDescent="0.35">
      <c r="A658" s="47">
        <v>1</v>
      </c>
      <c r="B658" s="40" t="s">
        <v>1517</v>
      </c>
      <c r="C658" s="40" t="s">
        <v>1969</v>
      </c>
      <c r="D658" s="40">
        <v>201221</v>
      </c>
      <c r="E658" s="49">
        <v>44186</v>
      </c>
      <c r="F658" s="31"/>
      <c r="G658" s="31"/>
    </row>
    <row r="659" spans="1:7" hidden="1" x14ac:dyDescent="0.35">
      <c r="A659" s="47">
        <v>1</v>
      </c>
      <c r="B659" s="40" t="s">
        <v>2290</v>
      </c>
      <c r="C659" s="40" t="s">
        <v>1969</v>
      </c>
      <c r="D659" s="40">
        <v>201221</v>
      </c>
      <c r="E659" s="49">
        <v>44186</v>
      </c>
      <c r="F659" s="31"/>
      <c r="G659" s="31"/>
    </row>
    <row r="660" spans="1:7" hidden="1" x14ac:dyDescent="0.35">
      <c r="A660" s="47">
        <v>1</v>
      </c>
      <c r="B660" s="40" t="s">
        <v>2291</v>
      </c>
      <c r="C660" s="40" t="s">
        <v>1969</v>
      </c>
      <c r="D660" s="40">
        <v>201221</v>
      </c>
      <c r="E660" s="49">
        <v>44186</v>
      </c>
      <c r="F660" s="31"/>
      <c r="G660" s="31"/>
    </row>
    <row r="661" spans="1:7" x14ac:dyDescent="0.35">
      <c r="A661" s="47">
        <v>1</v>
      </c>
      <c r="B661" s="40" t="s">
        <v>2237</v>
      </c>
      <c r="C661" s="40" t="s">
        <v>1975</v>
      </c>
      <c r="D661" s="40">
        <v>201221</v>
      </c>
      <c r="E661" s="49">
        <v>44186</v>
      </c>
      <c r="F661" s="31"/>
      <c r="G661" s="31"/>
    </row>
    <row r="662" spans="1:7" x14ac:dyDescent="0.35">
      <c r="A662" s="47">
        <v>1</v>
      </c>
      <c r="B662" s="40" t="s">
        <v>2234</v>
      </c>
      <c r="C662" s="40" t="s">
        <v>1976</v>
      </c>
      <c r="D662" s="40">
        <v>201221</v>
      </c>
      <c r="E662" s="49">
        <v>44186</v>
      </c>
      <c r="F662" s="31"/>
      <c r="G662" s="31"/>
    </row>
    <row r="663" spans="1:7" x14ac:dyDescent="0.35">
      <c r="A663" s="47">
        <v>1</v>
      </c>
      <c r="B663" s="40" t="s">
        <v>2269</v>
      </c>
      <c r="C663" s="40" t="s">
        <v>1976</v>
      </c>
      <c r="D663" s="40">
        <v>201221</v>
      </c>
      <c r="E663" s="49">
        <v>44186</v>
      </c>
      <c r="F663" s="31"/>
      <c r="G663" s="31"/>
    </row>
    <row r="664" spans="1:7" x14ac:dyDescent="0.35">
      <c r="A664" s="47">
        <v>1</v>
      </c>
      <c r="B664" s="40" t="s">
        <v>2272</v>
      </c>
      <c r="C664" s="40" t="s">
        <v>1976</v>
      </c>
      <c r="D664" s="40">
        <v>201221</v>
      </c>
      <c r="E664" s="49">
        <v>44186</v>
      </c>
      <c r="F664" s="31"/>
      <c r="G664" s="31"/>
    </row>
    <row r="665" spans="1:7" x14ac:dyDescent="0.35">
      <c r="A665" s="47">
        <v>1</v>
      </c>
      <c r="B665" s="39" t="s">
        <v>2292</v>
      </c>
      <c r="C665" s="71" t="s">
        <v>1968</v>
      </c>
      <c r="D665" s="39" t="s">
        <v>2293</v>
      </c>
      <c r="E665" s="69">
        <v>44207</v>
      </c>
    </row>
    <row r="666" spans="1:7" x14ac:dyDescent="0.35">
      <c r="A666" s="47">
        <v>1</v>
      </c>
      <c r="B666" s="39" t="s">
        <v>2294</v>
      </c>
      <c r="C666" s="71" t="s">
        <v>1968</v>
      </c>
      <c r="D666" s="39" t="s">
        <v>2293</v>
      </c>
      <c r="E666" s="69">
        <v>44207</v>
      </c>
    </row>
    <row r="667" spans="1:7" x14ac:dyDescent="0.35">
      <c r="A667" s="47">
        <v>1</v>
      </c>
      <c r="B667" s="39" t="s">
        <v>2295</v>
      </c>
      <c r="C667" s="71" t="s">
        <v>1968</v>
      </c>
      <c r="D667" s="39" t="s">
        <v>2293</v>
      </c>
      <c r="E667" s="69">
        <v>44207</v>
      </c>
    </row>
    <row r="668" spans="1:7" x14ac:dyDescent="0.35">
      <c r="A668" s="47">
        <v>1</v>
      </c>
      <c r="B668" s="39" t="s">
        <v>2156</v>
      </c>
      <c r="C668" s="71" t="s">
        <v>1976</v>
      </c>
      <c r="D668" s="39" t="s">
        <v>2293</v>
      </c>
      <c r="E668" s="69">
        <v>44207</v>
      </c>
    </row>
    <row r="669" spans="1:7" x14ac:dyDescent="0.35">
      <c r="A669" s="47">
        <v>1</v>
      </c>
      <c r="B669" s="39" t="s">
        <v>2234</v>
      </c>
      <c r="C669" s="71" t="s">
        <v>1976</v>
      </c>
      <c r="D669" s="39" t="s">
        <v>2293</v>
      </c>
      <c r="E669" s="69">
        <v>44207</v>
      </c>
    </row>
    <row r="670" spans="1:7" x14ac:dyDescent="0.35">
      <c r="A670" s="47">
        <v>1</v>
      </c>
      <c r="B670" s="39" t="s">
        <v>2261</v>
      </c>
      <c r="C670" s="71" t="s">
        <v>1976</v>
      </c>
      <c r="D670" s="39" t="s">
        <v>2293</v>
      </c>
      <c r="E670" s="69">
        <v>44207</v>
      </c>
    </row>
    <row r="671" spans="1:7" x14ac:dyDescent="0.35">
      <c r="A671" s="47">
        <v>1</v>
      </c>
      <c r="B671" s="39" t="s">
        <v>2263</v>
      </c>
      <c r="C671" s="71" t="s">
        <v>1976</v>
      </c>
      <c r="D671" s="39" t="s">
        <v>2293</v>
      </c>
      <c r="E671" s="69">
        <v>44207</v>
      </c>
    </row>
    <row r="672" spans="1:7" x14ac:dyDescent="0.35">
      <c r="A672" s="47">
        <v>1</v>
      </c>
      <c r="B672" s="39" t="s">
        <v>2273</v>
      </c>
      <c r="C672" s="71" t="s">
        <v>1976</v>
      </c>
      <c r="D672" s="39" t="s">
        <v>2293</v>
      </c>
      <c r="E672" s="69">
        <v>44207</v>
      </c>
    </row>
    <row r="673" spans="1:5" x14ac:dyDescent="0.35">
      <c r="A673" s="47">
        <v>1</v>
      </c>
      <c r="B673" s="39" t="s">
        <v>2282</v>
      </c>
      <c r="C673" s="71" t="s">
        <v>1976</v>
      </c>
      <c r="D673" s="39" t="s">
        <v>2293</v>
      </c>
      <c r="E673" s="69">
        <v>44207</v>
      </c>
    </row>
    <row r="674" spans="1:5" x14ac:dyDescent="0.35">
      <c r="A674" s="47">
        <v>1</v>
      </c>
      <c r="B674" s="39" t="s">
        <v>2286</v>
      </c>
      <c r="C674" s="71" t="s">
        <v>1976</v>
      </c>
      <c r="D674" s="39" t="s">
        <v>2293</v>
      </c>
      <c r="E674" s="69">
        <v>44207</v>
      </c>
    </row>
    <row r="675" spans="1:5" x14ac:dyDescent="0.35">
      <c r="A675" s="47">
        <v>1</v>
      </c>
      <c r="B675" s="39" t="s">
        <v>2287</v>
      </c>
      <c r="C675" s="71" t="s">
        <v>1976</v>
      </c>
      <c r="D675" s="39" t="s">
        <v>2293</v>
      </c>
      <c r="E675" s="69">
        <v>44207</v>
      </c>
    </row>
    <row r="676" spans="1:5" x14ac:dyDescent="0.35">
      <c r="A676" s="47">
        <v>1</v>
      </c>
      <c r="B676" s="39" t="s">
        <v>2296</v>
      </c>
      <c r="C676" s="71" t="s">
        <v>1968</v>
      </c>
      <c r="D676" s="39" t="s">
        <v>2297</v>
      </c>
      <c r="E676" s="69">
        <v>44223</v>
      </c>
    </row>
    <row r="677" spans="1:5" x14ac:dyDescent="0.35">
      <c r="A677" s="47">
        <v>1</v>
      </c>
      <c r="B677" s="39" t="s">
        <v>2298</v>
      </c>
      <c r="C677" s="71" t="s">
        <v>1968</v>
      </c>
      <c r="D677" s="39" t="s">
        <v>2297</v>
      </c>
      <c r="E677" s="69">
        <v>44223</v>
      </c>
    </row>
    <row r="678" spans="1:5" x14ac:dyDescent="0.35">
      <c r="A678" s="47">
        <v>1</v>
      </c>
      <c r="B678" s="39" t="s">
        <v>2299</v>
      </c>
      <c r="C678" s="71" t="s">
        <v>1968</v>
      </c>
      <c r="D678" s="39" t="s">
        <v>2297</v>
      </c>
      <c r="E678" s="69">
        <v>44223</v>
      </c>
    </row>
    <row r="679" spans="1:5" x14ac:dyDescent="0.35">
      <c r="A679" s="47">
        <v>1</v>
      </c>
      <c r="B679" s="39" t="s">
        <v>2300</v>
      </c>
      <c r="C679" s="71" t="s">
        <v>1968</v>
      </c>
      <c r="D679" s="39" t="s">
        <v>2297</v>
      </c>
      <c r="E679" s="69">
        <v>44223</v>
      </c>
    </row>
    <row r="680" spans="1:5" x14ac:dyDescent="0.35">
      <c r="A680" s="47">
        <v>1</v>
      </c>
      <c r="B680" s="39" t="s">
        <v>2301</v>
      </c>
      <c r="C680" s="71" t="s">
        <v>1968</v>
      </c>
      <c r="D680" s="39" t="s">
        <v>2297</v>
      </c>
      <c r="E680" s="69">
        <v>44223</v>
      </c>
    </row>
    <row r="681" spans="1:5" x14ac:dyDescent="0.35">
      <c r="A681" s="47">
        <v>1</v>
      </c>
      <c r="B681" s="21" t="s">
        <v>2156</v>
      </c>
      <c r="C681" s="71" t="s">
        <v>1970</v>
      </c>
      <c r="D681" s="39" t="s">
        <v>2297</v>
      </c>
      <c r="E681" s="69">
        <v>44223</v>
      </c>
    </row>
    <row r="682" spans="1:5" x14ac:dyDescent="0.35">
      <c r="A682" s="47">
        <v>1</v>
      </c>
      <c r="B682" s="39" t="s">
        <v>2236</v>
      </c>
      <c r="C682" s="71" t="s">
        <v>1970</v>
      </c>
      <c r="D682" s="39" t="s">
        <v>2297</v>
      </c>
      <c r="E682" s="69">
        <v>44223</v>
      </c>
    </row>
    <row r="683" spans="1:5" x14ac:dyDescent="0.35">
      <c r="A683" s="47">
        <v>1</v>
      </c>
      <c r="B683" s="39" t="s">
        <v>2263</v>
      </c>
      <c r="C683" s="71" t="s">
        <v>1970</v>
      </c>
      <c r="D683" s="39" t="s">
        <v>2297</v>
      </c>
      <c r="E683" s="69">
        <v>44223</v>
      </c>
    </row>
    <row r="684" spans="1:5" x14ac:dyDescent="0.35">
      <c r="A684" s="47">
        <v>1</v>
      </c>
      <c r="B684" s="39" t="s">
        <v>2281</v>
      </c>
      <c r="C684" s="71" t="s">
        <v>1970</v>
      </c>
      <c r="D684" s="39" t="s">
        <v>2297</v>
      </c>
      <c r="E684" s="69">
        <v>44223</v>
      </c>
    </row>
    <row r="685" spans="1:5" x14ac:dyDescent="0.35">
      <c r="A685" s="47">
        <v>1</v>
      </c>
      <c r="B685" s="39" t="s">
        <v>2282</v>
      </c>
      <c r="C685" s="71" t="s">
        <v>1970</v>
      </c>
      <c r="D685" s="39" t="s">
        <v>2297</v>
      </c>
      <c r="E685" s="69">
        <v>44223</v>
      </c>
    </row>
    <row r="686" spans="1:5" x14ac:dyDescent="0.35">
      <c r="A686" s="47">
        <v>1</v>
      </c>
      <c r="B686" s="39" t="s">
        <v>2286</v>
      </c>
      <c r="C686" s="71" t="s">
        <v>1970</v>
      </c>
      <c r="D686" s="39" t="s">
        <v>2297</v>
      </c>
      <c r="E686" s="69">
        <v>44223</v>
      </c>
    </row>
    <row r="687" spans="1:5" x14ac:dyDescent="0.35">
      <c r="A687" s="47">
        <v>1</v>
      </c>
      <c r="B687" s="39" t="s">
        <v>2292</v>
      </c>
      <c r="C687" s="71" t="s">
        <v>1970</v>
      </c>
      <c r="D687" s="39" t="s">
        <v>2297</v>
      </c>
      <c r="E687" s="69">
        <v>44223</v>
      </c>
    </row>
    <row r="688" spans="1:5" x14ac:dyDescent="0.35">
      <c r="A688" s="47">
        <v>1</v>
      </c>
      <c r="B688" s="39" t="s">
        <v>2294</v>
      </c>
      <c r="C688" s="71" t="s">
        <v>1970</v>
      </c>
      <c r="D688" s="39" t="s">
        <v>2297</v>
      </c>
      <c r="E688" s="69">
        <v>44223</v>
      </c>
    </row>
    <row r="689" spans="1:5" hidden="1" x14ac:dyDescent="0.35">
      <c r="A689" s="47">
        <v>1</v>
      </c>
      <c r="B689" s="39" t="s">
        <v>2302</v>
      </c>
      <c r="C689" s="71" t="s">
        <v>1972</v>
      </c>
      <c r="D689" s="39" t="s">
        <v>2297</v>
      </c>
      <c r="E689" s="69">
        <v>44223</v>
      </c>
    </row>
    <row r="690" spans="1:5" hidden="1" x14ac:dyDescent="0.35">
      <c r="A690" s="47">
        <v>1</v>
      </c>
      <c r="B690" s="39" t="s">
        <v>2303</v>
      </c>
      <c r="C690" s="71" t="s">
        <v>1972</v>
      </c>
      <c r="D690" s="39" t="s">
        <v>2297</v>
      </c>
      <c r="E690" s="69">
        <v>44223</v>
      </c>
    </row>
    <row r="691" spans="1:5" x14ac:dyDescent="0.35">
      <c r="A691" s="47">
        <v>1</v>
      </c>
      <c r="B691" s="39" t="s">
        <v>2237</v>
      </c>
      <c r="C691" s="71" t="s">
        <v>1975</v>
      </c>
      <c r="D691" s="39" t="s">
        <v>2297</v>
      </c>
      <c r="E691" s="69">
        <v>44223</v>
      </c>
    </row>
    <row r="692" spans="1:5" x14ac:dyDescent="0.35">
      <c r="A692" s="47">
        <v>1</v>
      </c>
      <c r="B692" s="39" t="s">
        <v>2282</v>
      </c>
      <c r="C692" s="71" t="s">
        <v>1975</v>
      </c>
      <c r="D692" s="39" t="s">
        <v>2297</v>
      </c>
      <c r="E692" s="69">
        <v>44223</v>
      </c>
    </row>
    <row r="693" spans="1:5" x14ac:dyDescent="0.35">
      <c r="A693" s="47">
        <v>1</v>
      </c>
      <c r="B693" s="70" t="s">
        <v>2209</v>
      </c>
      <c r="C693" s="71" t="s">
        <v>1976</v>
      </c>
      <c r="D693" s="39" t="s">
        <v>2297</v>
      </c>
      <c r="E693" s="69">
        <v>44223</v>
      </c>
    </row>
    <row r="694" spans="1:5" x14ac:dyDescent="0.35">
      <c r="A694" s="47">
        <v>1</v>
      </c>
      <c r="B694" s="39" t="s">
        <v>2232</v>
      </c>
      <c r="C694" s="71" t="s">
        <v>1976</v>
      </c>
      <c r="D694" s="39" t="s">
        <v>2297</v>
      </c>
      <c r="E694" s="69">
        <v>44223</v>
      </c>
    </row>
    <row r="695" spans="1:5" x14ac:dyDescent="0.35">
      <c r="A695" s="47">
        <v>1</v>
      </c>
      <c r="B695" s="39" t="s">
        <v>2245</v>
      </c>
      <c r="C695" s="71" t="s">
        <v>1976</v>
      </c>
      <c r="D695" s="39" t="s">
        <v>2297</v>
      </c>
      <c r="E695" s="69">
        <v>44223</v>
      </c>
    </row>
    <row r="696" spans="1:5" x14ac:dyDescent="0.35">
      <c r="A696" s="47">
        <v>1</v>
      </c>
      <c r="B696" s="39" t="s">
        <v>2247</v>
      </c>
      <c r="C696" s="71" t="s">
        <v>1976</v>
      </c>
      <c r="D696" s="39" t="s">
        <v>2297</v>
      </c>
      <c r="E696" s="69">
        <v>44223</v>
      </c>
    </row>
    <row r="697" spans="1:5" x14ac:dyDescent="0.35">
      <c r="A697" s="47">
        <v>1</v>
      </c>
      <c r="B697" s="39" t="s">
        <v>2248</v>
      </c>
      <c r="C697" s="71" t="s">
        <v>1976</v>
      </c>
      <c r="D697" s="39" t="s">
        <v>2297</v>
      </c>
      <c r="E697" s="69">
        <v>44223</v>
      </c>
    </row>
    <row r="698" spans="1:5" x14ac:dyDescent="0.35">
      <c r="A698" s="47">
        <v>1</v>
      </c>
      <c r="B698" s="39" t="s">
        <v>2253</v>
      </c>
      <c r="C698" s="71" t="s">
        <v>1976</v>
      </c>
      <c r="D698" s="39" t="s">
        <v>2297</v>
      </c>
      <c r="E698" s="69">
        <v>44223</v>
      </c>
    </row>
    <row r="699" spans="1:5" x14ac:dyDescent="0.35">
      <c r="A699" s="47">
        <v>1</v>
      </c>
      <c r="B699" s="39" t="s">
        <v>2257</v>
      </c>
      <c r="C699" s="71" t="s">
        <v>1976</v>
      </c>
      <c r="D699" s="39" t="s">
        <v>2297</v>
      </c>
      <c r="E699" s="69">
        <v>44223</v>
      </c>
    </row>
    <row r="700" spans="1:5" x14ac:dyDescent="0.35">
      <c r="A700" s="47">
        <v>1</v>
      </c>
      <c r="B700" s="39" t="s">
        <v>2264</v>
      </c>
      <c r="C700" s="71" t="s">
        <v>1976</v>
      </c>
      <c r="D700" s="39" t="s">
        <v>2297</v>
      </c>
      <c r="E700" s="69">
        <v>44223</v>
      </c>
    </row>
    <row r="701" spans="1:5" x14ac:dyDescent="0.35">
      <c r="A701" s="47">
        <v>1</v>
      </c>
      <c r="B701" s="39" t="s">
        <v>2271</v>
      </c>
      <c r="C701" s="71" t="s">
        <v>1976</v>
      </c>
      <c r="D701" s="39" t="s">
        <v>2297</v>
      </c>
      <c r="E701" s="69">
        <v>44223</v>
      </c>
    </row>
    <row r="702" spans="1:5" x14ac:dyDescent="0.35">
      <c r="A702" s="47">
        <v>1</v>
      </c>
      <c r="B702" s="39" t="s">
        <v>2273</v>
      </c>
      <c r="C702" s="71" t="s">
        <v>1976</v>
      </c>
      <c r="D702" s="39" t="s">
        <v>2297</v>
      </c>
      <c r="E702" s="69">
        <v>44223</v>
      </c>
    </row>
    <row r="703" spans="1:5" x14ac:dyDescent="0.35">
      <c r="A703" s="47">
        <v>1</v>
      </c>
      <c r="B703" s="39" t="s">
        <v>2274</v>
      </c>
      <c r="C703" s="71" t="s">
        <v>1976</v>
      </c>
      <c r="D703" s="39" t="s">
        <v>2297</v>
      </c>
      <c r="E703" s="69">
        <v>44223</v>
      </c>
    </row>
    <row r="704" spans="1:5" x14ac:dyDescent="0.35">
      <c r="A704" s="47">
        <v>1</v>
      </c>
      <c r="B704" s="39" t="s">
        <v>2295</v>
      </c>
      <c r="C704" s="71" t="s">
        <v>1976</v>
      </c>
      <c r="D704" s="39" t="s">
        <v>2297</v>
      </c>
      <c r="E704" s="69">
        <v>44223</v>
      </c>
    </row>
    <row r="705" spans="1:5" hidden="1" x14ac:dyDescent="0.35">
      <c r="A705" s="47">
        <v>1</v>
      </c>
      <c r="B705" s="39" t="s">
        <v>1918</v>
      </c>
      <c r="C705" s="71" t="s">
        <v>1969</v>
      </c>
      <c r="D705" s="39" t="s">
        <v>2304</v>
      </c>
      <c r="E705" s="69">
        <v>44235</v>
      </c>
    </row>
    <row r="706" spans="1:5" hidden="1" x14ac:dyDescent="0.35">
      <c r="A706" s="47">
        <v>1</v>
      </c>
      <c r="B706" s="39" t="s">
        <v>1920</v>
      </c>
      <c r="C706" s="71" t="s">
        <v>1969</v>
      </c>
      <c r="D706" s="39" t="s">
        <v>2304</v>
      </c>
      <c r="E706" s="69">
        <v>44235</v>
      </c>
    </row>
    <row r="707" spans="1:5" x14ac:dyDescent="0.35">
      <c r="A707" s="47">
        <v>1</v>
      </c>
      <c r="B707" s="39" t="s">
        <v>2224</v>
      </c>
      <c r="C707" s="71" t="s">
        <v>1976</v>
      </c>
      <c r="D707" s="39" t="s">
        <v>2304</v>
      </c>
      <c r="E707" s="69">
        <v>44235</v>
      </c>
    </row>
    <row r="708" spans="1:5" x14ac:dyDescent="0.35">
      <c r="A708" s="47">
        <v>1</v>
      </c>
      <c r="B708" s="39" t="s">
        <v>2209</v>
      </c>
      <c r="C708" s="71" t="s">
        <v>1976</v>
      </c>
      <c r="D708" s="39" t="s">
        <v>2304</v>
      </c>
      <c r="E708" s="69">
        <v>44235</v>
      </c>
    </row>
    <row r="709" spans="1:5" x14ac:dyDescent="0.35">
      <c r="A709" s="47">
        <v>1</v>
      </c>
      <c r="B709" s="39" t="s">
        <v>2241</v>
      </c>
      <c r="C709" s="71" t="s">
        <v>1976</v>
      </c>
      <c r="D709" s="39" t="s">
        <v>2304</v>
      </c>
      <c r="E709" s="69">
        <v>44235</v>
      </c>
    </row>
    <row r="710" spans="1:5" x14ac:dyDescent="0.35">
      <c r="A710" s="47">
        <v>1</v>
      </c>
      <c r="B710" s="52" t="s">
        <v>2257</v>
      </c>
      <c r="C710" s="72" t="s">
        <v>1976</v>
      </c>
      <c r="D710" s="52" t="s">
        <v>2304</v>
      </c>
      <c r="E710" s="69">
        <v>44235</v>
      </c>
    </row>
    <row r="711" spans="1:5" x14ac:dyDescent="0.35">
      <c r="A711" s="47">
        <v>1</v>
      </c>
      <c r="B711" s="52" t="s">
        <v>2269</v>
      </c>
      <c r="C711" s="72" t="s">
        <v>1976</v>
      </c>
      <c r="D711" s="52" t="s">
        <v>2304</v>
      </c>
      <c r="E711" s="69">
        <v>44235</v>
      </c>
    </row>
    <row r="712" spans="1:5" x14ac:dyDescent="0.35">
      <c r="A712" s="47">
        <v>1</v>
      </c>
      <c r="B712" s="52" t="s">
        <v>2273</v>
      </c>
      <c r="C712" s="72" t="s">
        <v>1976</v>
      </c>
      <c r="D712" s="52" t="s">
        <v>2304</v>
      </c>
      <c r="E712" s="69">
        <v>44235</v>
      </c>
    </row>
    <row r="713" spans="1:5" x14ac:dyDescent="0.35">
      <c r="A713" s="47">
        <v>1</v>
      </c>
      <c r="B713" s="52" t="s">
        <v>2274</v>
      </c>
      <c r="C713" s="72" t="s">
        <v>1976</v>
      </c>
      <c r="D713" s="52" t="s">
        <v>2304</v>
      </c>
      <c r="E713" s="69">
        <v>44235</v>
      </c>
    </row>
    <row r="714" spans="1:5" x14ac:dyDescent="0.35">
      <c r="A714" s="47">
        <v>1</v>
      </c>
      <c r="B714" s="52" t="s">
        <v>2287</v>
      </c>
      <c r="C714" s="72" t="s">
        <v>1976</v>
      </c>
      <c r="D714" s="52" t="s">
        <v>2304</v>
      </c>
      <c r="E714" s="69">
        <v>44235</v>
      </c>
    </row>
    <row r="715" spans="1:5" x14ac:dyDescent="0.35">
      <c r="A715" s="31">
        <v>1</v>
      </c>
      <c r="B715" s="84" t="s">
        <v>2239</v>
      </c>
      <c r="C715" s="71" t="s">
        <v>1970</v>
      </c>
      <c r="D715" s="39" t="s">
        <v>108</v>
      </c>
      <c r="E715" s="83">
        <v>44245</v>
      </c>
    </row>
    <row r="716" spans="1:5" x14ac:dyDescent="0.35">
      <c r="A716" s="31">
        <v>1</v>
      </c>
      <c r="B716" s="39" t="s">
        <v>2242</v>
      </c>
      <c r="C716" s="71" t="s">
        <v>1970</v>
      </c>
      <c r="D716" s="39" t="s">
        <v>108</v>
      </c>
      <c r="E716" s="83">
        <v>44245</v>
      </c>
    </row>
    <row r="717" spans="1:5" x14ac:dyDescent="0.35">
      <c r="A717" s="31">
        <v>1</v>
      </c>
      <c r="B717" s="39" t="s">
        <v>2261</v>
      </c>
      <c r="C717" s="71" t="s">
        <v>1970</v>
      </c>
      <c r="D717" s="39" t="s">
        <v>108</v>
      </c>
      <c r="E717" s="83">
        <v>44245</v>
      </c>
    </row>
    <row r="718" spans="1:5" x14ac:dyDescent="0.35">
      <c r="A718" s="31">
        <v>1</v>
      </c>
      <c r="B718" s="39" t="s">
        <v>2262</v>
      </c>
      <c r="C718" s="71" t="s">
        <v>1970</v>
      </c>
      <c r="D718" s="39" t="s">
        <v>108</v>
      </c>
      <c r="E718" s="83">
        <v>44245</v>
      </c>
    </row>
    <row r="719" spans="1:5" x14ac:dyDescent="0.35">
      <c r="A719" s="31">
        <v>1</v>
      </c>
      <c r="B719" s="39" t="s">
        <v>2271</v>
      </c>
      <c r="C719" s="71" t="s">
        <v>1970</v>
      </c>
      <c r="D719" s="39" t="s">
        <v>108</v>
      </c>
      <c r="E719" s="83">
        <v>44245</v>
      </c>
    </row>
    <row r="720" spans="1:5" x14ac:dyDescent="0.35">
      <c r="A720" s="31">
        <v>1</v>
      </c>
      <c r="B720" s="39" t="s">
        <v>2272</v>
      </c>
      <c r="C720" s="71" t="s">
        <v>1970</v>
      </c>
      <c r="D720" s="39" t="s">
        <v>108</v>
      </c>
      <c r="E720" s="83">
        <v>44245</v>
      </c>
    </row>
    <row r="721" spans="1:5" x14ac:dyDescent="0.35">
      <c r="A721" s="31">
        <v>1</v>
      </c>
      <c r="B721" s="39" t="s">
        <v>2273</v>
      </c>
      <c r="C721" s="71" t="s">
        <v>1970</v>
      </c>
      <c r="D721" s="39" t="s">
        <v>108</v>
      </c>
      <c r="E721" s="83">
        <v>44245</v>
      </c>
    </row>
    <row r="722" spans="1:5" x14ac:dyDescent="0.35">
      <c r="A722" s="31">
        <v>1</v>
      </c>
      <c r="B722" s="39" t="s">
        <v>2275</v>
      </c>
      <c r="C722" s="71" t="s">
        <v>1970</v>
      </c>
      <c r="D722" s="39" t="s">
        <v>108</v>
      </c>
      <c r="E722" s="83">
        <v>44245</v>
      </c>
    </row>
    <row r="723" spans="1:5" x14ac:dyDescent="0.35">
      <c r="A723" s="31">
        <v>1</v>
      </c>
      <c r="B723" s="39" t="s">
        <v>2296</v>
      </c>
      <c r="C723" s="71" t="s">
        <v>1970</v>
      </c>
      <c r="D723" s="39" t="s">
        <v>108</v>
      </c>
      <c r="E723" s="83">
        <v>44245</v>
      </c>
    </row>
    <row r="724" spans="1:5" x14ac:dyDescent="0.35">
      <c r="A724" s="31">
        <v>1</v>
      </c>
      <c r="B724" s="39" t="s">
        <v>2299</v>
      </c>
      <c r="C724" s="71" t="s">
        <v>1970</v>
      </c>
      <c r="D724" s="39" t="s">
        <v>108</v>
      </c>
      <c r="E724" s="83">
        <v>44245</v>
      </c>
    </row>
    <row r="725" spans="1:5" x14ac:dyDescent="0.35">
      <c r="A725" s="31">
        <v>1</v>
      </c>
      <c r="B725" s="39" t="s">
        <v>2300</v>
      </c>
      <c r="C725" s="71" t="s">
        <v>1970</v>
      </c>
      <c r="D725" s="39" t="s">
        <v>108</v>
      </c>
      <c r="E725" s="83">
        <v>44245</v>
      </c>
    </row>
    <row r="726" spans="1:5" x14ac:dyDescent="0.35">
      <c r="A726" s="31">
        <v>1</v>
      </c>
      <c r="B726" s="39" t="s">
        <v>2301</v>
      </c>
      <c r="C726" s="71" t="s">
        <v>1970</v>
      </c>
      <c r="D726" s="39" t="s">
        <v>108</v>
      </c>
      <c r="E726" s="83">
        <v>44245</v>
      </c>
    </row>
    <row r="727" spans="1:5" x14ac:dyDescent="0.35">
      <c r="A727" s="31">
        <v>1</v>
      </c>
      <c r="B727" s="39" t="s">
        <v>2305</v>
      </c>
      <c r="C727" s="71" t="s">
        <v>1968</v>
      </c>
      <c r="D727" s="39" t="s">
        <v>108</v>
      </c>
      <c r="E727" s="83">
        <v>44245</v>
      </c>
    </row>
    <row r="728" spans="1:5" x14ac:dyDescent="0.35">
      <c r="A728" s="31">
        <v>1</v>
      </c>
      <c r="B728" s="39" t="s">
        <v>2306</v>
      </c>
      <c r="C728" s="71" t="s">
        <v>1968</v>
      </c>
      <c r="D728" s="39" t="s">
        <v>108</v>
      </c>
      <c r="E728" s="83">
        <v>44245</v>
      </c>
    </row>
    <row r="729" spans="1:5" x14ac:dyDescent="0.35">
      <c r="A729" s="31">
        <v>1</v>
      </c>
      <c r="B729" s="39" t="s">
        <v>2218</v>
      </c>
      <c r="C729" s="71" t="s">
        <v>1975</v>
      </c>
      <c r="D729" s="39" t="s">
        <v>108</v>
      </c>
      <c r="E729" s="83">
        <v>44245</v>
      </c>
    </row>
    <row r="730" spans="1:5" x14ac:dyDescent="0.35">
      <c r="A730" s="31">
        <v>1</v>
      </c>
      <c r="B730" s="39" t="s">
        <v>2307</v>
      </c>
      <c r="C730" s="71" t="s">
        <v>1968</v>
      </c>
      <c r="D730" s="39" t="s">
        <v>108</v>
      </c>
      <c r="E730" s="83">
        <v>44245</v>
      </c>
    </row>
    <row r="731" spans="1:5" x14ac:dyDescent="0.35">
      <c r="A731" s="31">
        <v>1</v>
      </c>
      <c r="B731" s="52" t="s">
        <v>2308</v>
      </c>
      <c r="C731" s="72" t="s">
        <v>1968</v>
      </c>
      <c r="D731" s="39" t="s">
        <v>108</v>
      </c>
      <c r="E731" s="83">
        <v>44245</v>
      </c>
    </row>
    <row r="732" spans="1:5" x14ac:dyDescent="0.35">
      <c r="A732" s="31">
        <v>1</v>
      </c>
      <c r="B732" s="52" t="s">
        <v>2309</v>
      </c>
      <c r="C732" s="72" t="s">
        <v>1968</v>
      </c>
      <c r="D732" s="39" t="s">
        <v>108</v>
      </c>
      <c r="E732" s="83">
        <v>44245</v>
      </c>
    </row>
    <row r="733" spans="1:5" x14ac:dyDescent="0.35">
      <c r="A733" s="31">
        <v>1</v>
      </c>
      <c r="B733" s="52" t="s">
        <v>2310</v>
      </c>
      <c r="C733" s="72" t="s">
        <v>1968</v>
      </c>
      <c r="D733" s="39" t="s">
        <v>112</v>
      </c>
      <c r="E733" s="83">
        <v>44256</v>
      </c>
    </row>
    <row r="734" spans="1:5" x14ac:dyDescent="0.35">
      <c r="A734" s="31">
        <v>1</v>
      </c>
      <c r="B734" s="52" t="s">
        <v>2311</v>
      </c>
      <c r="C734" s="72" t="s">
        <v>1968</v>
      </c>
      <c r="D734" s="52" t="s">
        <v>112</v>
      </c>
      <c r="E734" s="69">
        <v>44256</v>
      </c>
    </row>
    <row r="735" spans="1:5" x14ac:dyDescent="0.35">
      <c r="A735" s="31">
        <v>1</v>
      </c>
      <c r="B735" s="52" t="s">
        <v>2307</v>
      </c>
      <c r="C735" s="72" t="s">
        <v>1970</v>
      </c>
      <c r="D735" s="52" t="s">
        <v>112</v>
      </c>
      <c r="E735" s="69">
        <v>44256</v>
      </c>
    </row>
    <row r="736" spans="1:5" x14ac:dyDescent="0.35">
      <c r="A736" s="31">
        <v>1</v>
      </c>
      <c r="B736" s="52" t="s">
        <v>2276</v>
      </c>
      <c r="C736" s="72" t="s">
        <v>1975</v>
      </c>
      <c r="D736" s="52" t="s">
        <v>112</v>
      </c>
      <c r="E736" s="69">
        <v>44256</v>
      </c>
    </row>
    <row r="737" spans="1:5" x14ac:dyDescent="0.35">
      <c r="A737" s="31">
        <v>1</v>
      </c>
      <c r="B737" s="52" t="s">
        <v>2277</v>
      </c>
      <c r="C737" s="72" t="s">
        <v>1975</v>
      </c>
      <c r="D737" s="52" t="s">
        <v>112</v>
      </c>
      <c r="E737" s="69">
        <v>44256</v>
      </c>
    </row>
    <row r="738" spans="1:5" x14ac:dyDescent="0.35">
      <c r="A738" s="31">
        <v>1</v>
      </c>
      <c r="B738" s="52" t="s">
        <v>2279</v>
      </c>
      <c r="C738" s="72" t="s">
        <v>1975</v>
      </c>
      <c r="D738" s="52" t="s">
        <v>112</v>
      </c>
      <c r="E738" s="69">
        <v>44256</v>
      </c>
    </row>
    <row r="739" spans="1:5" x14ac:dyDescent="0.35">
      <c r="A739" s="31">
        <v>1</v>
      </c>
      <c r="B739" s="52" t="s">
        <v>2280</v>
      </c>
      <c r="C739" s="72" t="s">
        <v>1975</v>
      </c>
      <c r="D739" s="52" t="s">
        <v>112</v>
      </c>
      <c r="E739" s="69">
        <v>44256</v>
      </c>
    </row>
    <row r="740" spans="1:5" x14ac:dyDescent="0.35">
      <c r="A740" s="31">
        <v>1</v>
      </c>
      <c r="B740" s="52" t="s">
        <v>2312</v>
      </c>
      <c r="C740" s="72" t="s">
        <v>1968</v>
      </c>
      <c r="D740" s="52" t="s">
        <v>112</v>
      </c>
      <c r="E740" s="69">
        <v>44256</v>
      </c>
    </row>
    <row r="741" spans="1:5" x14ac:dyDescent="0.35">
      <c r="A741" s="31">
        <v>1</v>
      </c>
      <c r="B741" s="52" t="s">
        <v>2313</v>
      </c>
      <c r="C741" s="72" t="s">
        <v>1968</v>
      </c>
      <c r="D741" s="52" t="s">
        <v>112</v>
      </c>
      <c r="E741" s="69">
        <v>44256</v>
      </c>
    </row>
    <row r="742" spans="1:5" x14ac:dyDescent="0.35">
      <c r="A742" s="31">
        <v>1</v>
      </c>
      <c r="B742" s="52" t="s">
        <v>2314</v>
      </c>
      <c r="C742" s="72" t="s">
        <v>1968</v>
      </c>
      <c r="D742" s="52" t="s">
        <v>112</v>
      </c>
      <c r="E742" s="69">
        <v>44256</v>
      </c>
    </row>
    <row r="743" spans="1:5" x14ac:dyDescent="0.35">
      <c r="A743" s="31">
        <v>1</v>
      </c>
      <c r="B743" s="52" t="s">
        <v>2315</v>
      </c>
      <c r="C743" s="72" t="s">
        <v>1968</v>
      </c>
      <c r="D743" s="52" t="s">
        <v>112</v>
      </c>
      <c r="E743" s="69">
        <v>44256</v>
      </c>
    </row>
    <row r="744" spans="1:5" x14ac:dyDescent="0.35">
      <c r="A744" s="31">
        <v>1</v>
      </c>
      <c r="B744" s="52" t="s">
        <v>2316</v>
      </c>
      <c r="C744" s="72" t="s">
        <v>1968</v>
      </c>
      <c r="D744" s="52" t="s">
        <v>112</v>
      </c>
      <c r="E744" s="69">
        <v>44256</v>
      </c>
    </row>
    <row r="745" spans="1:5" x14ac:dyDescent="0.35">
      <c r="A745" s="51">
        <v>1</v>
      </c>
      <c r="B745" s="52" t="s">
        <v>2317</v>
      </c>
      <c r="C745" s="72" t="s">
        <v>1968</v>
      </c>
      <c r="D745" s="52" t="s">
        <v>112</v>
      </c>
      <c r="E745" s="69">
        <v>44256</v>
      </c>
    </row>
    <row r="746" spans="1:5" x14ac:dyDescent="0.35">
      <c r="A746" s="51">
        <v>1</v>
      </c>
      <c r="B746" s="52" t="s">
        <v>2253</v>
      </c>
      <c r="C746" s="72" t="s">
        <v>1976</v>
      </c>
      <c r="D746" s="52" t="s">
        <v>116</v>
      </c>
      <c r="E746" s="69">
        <v>44271</v>
      </c>
    </row>
    <row r="747" spans="1:5" x14ac:dyDescent="0.35">
      <c r="A747" s="51">
        <v>1</v>
      </c>
      <c r="B747" s="52" t="s">
        <v>2266</v>
      </c>
      <c r="C747" s="72" t="s">
        <v>1976</v>
      </c>
      <c r="D747" s="52" t="s">
        <v>116</v>
      </c>
      <c r="E747" s="69">
        <v>44271</v>
      </c>
    </row>
    <row r="748" spans="1:5" x14ac:dyDescent="0.35">
      <c r="A748" s="51">
        <v>1</v>
      </c>
      <c r="B748" s="52" t="s">
        <v>2113</v>
      </c>
      <c r="C748" s="72" t="s">
        <v>1976</v>
      </c>
      <c r="D748" s="52" t="s">
        <v>116</v>
      </c>
      <c r="E748" s="69">
        <v>44271</v>
      </c>
    </row>
    <row r="749" spans="1:5" x14ac:dyDescent="0.35">
      <c r="A749" s="51">
        <v>1</v>
      </c>
      <c r="B749" s="52" t="s">
        <v>2256</v>
      </c>
      <c r="C749" s="72" t="s">
        <v>1976</v>
      </c>
      <c r="D749" s="52" t="s">
        <v>116</v>
      </c>
      <c r="E749" s="69">
        <v>44271</v>
      </c>
    </row>
    <row r="750" spans="1:5" x14ac:dyDescent="0.35">
      <c r="A750" s="51">
        <v>1</v>
      </c>
      <c r="B750" s="52" t="s">
        <v>2274</v>
      </c>
      <c r="C750" s="72" t="s">
        <v>1976</v>
      </c>
      <c r="D750" s="52" t="s">
        <v>116</v>
      </c>
      <c r="E750" s="69">
        <v>44271</v>
      </c>
    </row>
    <row r="751" spans="1:5" x14ac:dyDescent="0.35">
      <c r="A751" s="51">
        <v>1</v>
      </c>
      <c r="B751" s="52" t="s">
        <v>2298</v>
      </c>
      <c r="C751" s="72" t="s">
        <v>1976</v>
      </c>
      <c r="D751" s="52" t="s">
        <v>116</v>
      </c>
      <c r="E751" s="69">
        <v>44271</v>
      </c>
    </row>
    <row r="752" spans="1:5" x14ac:dyDescent="0.35">
      <c r="A752" s="51">
        <v>1</v>
      </c>
      <c r="B752" s="52" t="s">
        <v>2234</v>
      </c>
      <c r="C752" s="72" t="s">
        <v>1976</v>
      </c>
      <c r="D752" s="52" t="s">
        <v>116</v>
      </c>
      <c r="E752" s="69">
        <v>44271</v>
      </c>
    </row>
    <row r="753" spans="1:5" x14ac:dyDescent="0.35">
      <c r="A753" s="51">
        <v>1</v>
      </c>
      <c r="B753" s="52" t="s">
        <v>2232</v>
      </c>
      <c r="C753" s="72" t="s">
        <v>1976</v>
      </c>
      <c r="D753" s="52" t="s">
        <v>116</v>
      </c>
      <c r="E753" s="69">
        <v>44271</v>
      </c>
    </row>
    <row r="754" spans="1:5" x14ac:dyDescent="0.35">
      <c r="A754" s="51">
        <v>1</v>
      </c>
      <c r="B754" s="52" t="s">
        <v>2245</v>
      </c>
      <c r="C754" s="72" t="s">
        <v>1976</v>
      </c>
      <c r="D754" s="52" t="s">
        <v>116</v>
      </c>
      <c r="E754" s="69">
        <v>44271</v>
      </c>
    </row>
    <row r="755" spans="1:5" x14ac:dyDescent="0.35">
      <c r="A755" s="51">
        <v>1</v>
      </c>
      <c r="B755" s="52" t="s">
        <v>2247</v>
      </c>
      <c r="C755" s="72" t="s">
        <v>1976</v>
      </c>
      <c r="D755" s="52" t="s">
        <v>116</v>
      </c>
      <c r="E755" s="69">
        <v>44271</v>
      </c>
    </row>
    <row r="756" spans="1:5" x14ac:dyDescent="0.35">
      <c r="A756" s="51">
        <v>1</v>
      </c>
      <c r="B756" s="52" t="s">
        <v>2318</v>
      </c>
      <c r="C756" s="72" t="s">
        <v>1968</v>
      </c>
      <c r="D756" s="52" t="s">
        <v>116</v>
      </c>
      <c r="E756" s="69">
        <v>44271</v>
      </c>
    </row>
    <row r="757" spans="1:5" x14ac:dyDescent="0.35">
      <c r="A757" s="51">
        <v>1</v>
      </c>
      <c r="B757" s="52" t="s">
        <v>2319</v>
      </c>
      <c r="C757" s="72" t="s">
        <v>1968</v>
      </c>
      <c r="D757" s="52" t="s">
        <v>116</v>
      </c>
      <c r="E757" s="69">
        <v>44271</v>
      </c>
    </row>
    <row r="758" spans="1:5" x14ac:dyDescent="0.35">
      <c r="A758" s="51">
        <v>1</v>
      </c>
      <c r="B758" s="52" t="s">
        <v>2320</v>
      </c>
      <c r="C758" s="72" t="s">
        <v>1968</v>
      </c>
      <c r="D758" s="52" t="s">
        <v>116</v>
      </c>
      <c r="E758" s="69">
        <v>44271</v>
      </c>
    </row>
    <row r="759" spans="1:5" x14ac:dyDescent="0.35">
      <c r="A759" s="51">
        <v>1</v>
      </c>
      <c r="B759" s="52" t="s">
        <v>2209</v>
      </c>
      <c r="C759" s="72" t="s">
        <v>1976</v>
      </c>
      <c r="D759" s="39" t="s">
        <v>116</v>
      </c>
      <c r="E759" s="87">
        <v>44271</v>
      </c>
    </row>
    <row r="760" spans="1:5" x14ac:dyDescent="0.35">
      <c r="A760" s="51">
        <v>1</v>
      </c>
      <c r="B760" s="86" t="s">
        <v>2234</v>
      </c>
      <c r="C760" s="72" t="s">
        <v>1970</v>
      </c>
      <c r="D760" s="84" t="s">
        <v>119</v>
      </c>
      <c r="E760" s="83">
        <v>44279</v>
      </c>
    </row>
    <row r="761" spans="1:5" x14ac:dyDescent="0.35">
      <c r="A761" s="51">
        <v>1</v>
      </c>
      <c r="B761" s="35" t="s">
        <v>2241</v>
      </c>
      <c r="C761" s="72" t="s">
        <v>1970</v>
      </c>
      <c r="D761" s="84" t="s">
        <v>119</v>
      </c>
      <c r="E761" s="83">
        <v>44279</v>
      </c>
    </row>
    <row r="762" spans="1:5" x14ac:dyDescent="0.35">
      <c r="A762" s="51">
        <v>1</v>
      </c>
      <c r="B762" s="35" t="s">
        <v>2248</v>
      </c>
      <c r="C762" s="72" t="s">
        <v>1970</v>
      </c>
      <c r="D762" s="84" t="s">
        <v>119</v>
      </c>
      <c r="E762" s="83">
        <v>44279</v>
      </c>
    </row>
    <row r="763" spans="1:5" x14ac:dyDescent="0.35">
      <c r="A763" s="51">
        <v>1</v>
      </c>
      <c r="B763" s="35" t="s">
        <v>2264</v>
      </c>
      <c r="C763" s="72" t="s">
        <v>1970</v>
      </c>
      <c r="D763" s="84" t="s">
        <v>119</v>
      </c>
      <c r="E763" s="83">
        <v>44279</v>
      </c>
    </row>
    <row r="764" spans="1:5" x14ac:dyDescent="0.35">
      <c r="A764" s="51">
        <v>1</v>
      </c>
      <c r="B764" s="35" t="s">
        <v>2266</v>
      </c>
      <c r="C764" s="72" t="s">
        <v>1970</v>
      </c>
      <c r="D764" s="84" t="s">
        <v>119</v>
      </c>
      <c r="E764" s="83">
        <v>44279</v>
      </c>
    </row>
    <row r="765" spans="1:5" x14ac:dyDescent="0.35">
      <c r="A765" s="51">
        <v>1</v>
      </c>
      <c r="B765" s="35" t="s">
        <v>2269</v>
      </c>
      <c r="C765" s="72" t="s">
        <v>1970</v>
      </c>
      <c r="D765" s="84" t="s">
        <v>119</v>
      </c>
      <c r="E765" s="83">
        <v>44279</v>
      </c>
    </row>
    <row r="766" spans="1:5" x14ac:dyDescent="0.35">
      <c r="A766" s="51">
        <v>1</v>
      </c>
      <c r="B766" s="35" t="s">
        <v>2295</v>
      </c>
      <c r="C766" s="72" t="s">
        <v>1970</v>
      </c>
      <c r="D766" s="84" t="s">
        <v>119</v>
      </c>
      <c r="E766" s="83">
        <v>44279</v>
      </c>
    </row>
    <row r="767" spans="1:5" x14ac:dyDescent="0.35">
      <c r="A767" s="51">
        <v>1</v>
      </c>
      <c r="B767" s="52" t="s">
        <v>2321</v>
      </c>
      <c r="C767" s="72" t="s">
        <v>1968</v>
      </c>
      <c r="D767" s="84" t="s">
        <v>119</v>
      </c>
      <c r="E767" s="83">
        <v>44279</v>
      </c>
    </row>
    <row r="768" spans="1:5" x14ac:dyDescent="0.35">
      <c r="A768" s="51">
        <v>1</v>
      </c>
      <c r="B768" s="52" t="s">
        <v>2322</v>
      </c>
      <c r="C768" s="72" t="s">
        <v>1968</v>
      </c>
      <c r="D768" s="84" t="s">
        <v>119</v>
      </c>
      <c r="E768" s="83">
        <v>44279</v>
      </c>
    </row>
    <row r="769" spans="1:5" x14ac:dyDescent="0.35">
      <c r="A769" s="51">
        <v>1</v>
      </c>
      <c r="B769" s="52" t="s">
        <v>133</v>
      </c>
      <c r="C769" s="72" t="s">
        <v>1968</v>
      </c>
      <c r="D769" s="84" t="s">
        <v>119</v>
      </c>
      <c r="E769" s="83">
        <v>44279</v>
      </c>
    </row>
    <row r="770" spans="1:5" x14ac:dyDescent="0.35">
      <c r="A770" s="51">
        <v>1</v>
      </c>
      <c r="B770" s="52" t="s">
        <v>2274</v>
      </c>
      <c r="C770" s="72" t="s">
        <v>1976</v>
      </c>
      <c r="D770" s="84" t="s">
        <v>119</v>
      </c>
      <c r="E770" s="83">
        <v>44279</v>
      </c>
    </row>
    <row r="771" spans="1:5" x14ac:dyDescent="0.35">
      <c r="A771" s="51">
        <v>1</v>
      </c>
      <c r="B771" s="52" t="s">
        <v>2284</v>
      </c>
      <c r="C771" s="72" t="s">
        <v>1976</v>
      </c>
      <c r="D771" s="84" t="s">
        <v>119</v>
      </c>
      <c r="E771" s="83">
        <v>44279</v>
      </c>
    </row>
    <row r="772" spans="1:5" x14ac:dyDescent="0.35">
      <c r="A772" s="51">
        <v>1</v>
      </c>
      <c r="B772" s="52" t="s">
        <v>2270</v>
      </c>
      <c r="C772" s="72" t="s">
        <v>1976</v>
      </c>
      <c r="D772" s="84" t="s">
        <v>119</v>
      </c>
      <c r="E772" s="83">
        <v>44279</v>
      </c>
    </row>
    <row r="773" spans="1:5" x14ac:dyDescent="0.35">
      <c r="A773" s="51">
        <v>1</v>
      </c>
      <c r="B773" s="52" t="s">
        <v>2309</v>
      </c>
      <c r="C773" s="72" t="s">
        <v>1976</v>
      </c>
      <c r="D773" s="84" t="s">
        <v>119</v>
      </c>
      <c r="E773" s="83">
        <v>44279</v>
      </c>
    </row>
    <row r="774" spans="1:5" x14ac:dyDescent="0.35">
      <c r="A774" s="51">
        <v>1</v>
      </c>
      <c r="B774" s="52" t="s">
        <v>2308</v>
      </c>
      <c r="C774" s="72" t="s">
        <v>1976</v>
      </c>
      <c r="D774" s="84" t="s">
        <v>119</v>
      </c>
      <c r="E774" s="83">
        <v>44279</v>
      </c>
    </row>
    <row r="775" spans="1:5" x14ac:dyDescent="0.35">
      <c r="A775" s="51">
        <v>1</v>
      </c>
      <c r="B775" s="52" t="s">
        <v>2323</v>
      </c>
      <c r="C775" s="72" t="s">
        <v>1968</v>
      </c>
      <c r="D775" s="52" t="s">
        <v>123</v>
      </c>
      <c r="E775" s="69">
        <v>44285</v>
      </c>
    </row>
    <row r="776" spans="1:5" x14ac:dyDescent="0.35">
      <c r="A776" s="51">
        <v>1</v>
      </c>
      <c r="B776" s="52" t="s">
        <v>2324</v>
      </c>
      <c r="C776" s="72" t="s">
        <v>1968</v>
      </c>
      <c r="D776" s="52" t="s">
        <v>123</v>
      </c>
      <c r="E776" s="69">
        <v>44285</v>
      </c>
    </row>
    <row r="777" spans="1:5" x14ac:dyDescent="0.35">
      <c r="A777" s="51">
        <v>1</v>
      </c>
      <c r="B777" s="52" t="s">
        <v>2325</v>
      </c>
      <c r="C777" s="72" t="s">
        <v>1968</v>
      </c>
      <c r="D777" s="52" t="s">
        <v>123</v>
      </c>
      <c r="E777" s="69">
        <v>44285</v>
      </c>
    </row>
    <row r="778" spans="1:5" hidden="1" x14ac:dyDescent="0.35">
      <c r="A778" s="51">
        <v>1</v>
      </c>
      <c r="B778" s="52" t="s">
        <v>133</v>
      </c>
      <c r="C778" s="72" t="s">
        <v>1969</v>
      </c>
      <c r="D778" s="52" t="s">
        <v>123</v>
      </c>
      <c r="E778" s="69">
        <v>44285</v>
      </c>
    </row>
    <row r="779" spans="1:5" x14ac:dyDescent="0.35">
      <c r="A779" s="51">
        <v>1</v>
      </c>
      <c r="B779" s="86" t="s">
        <v>2209</v>
      </c>
      <c r="C779" s="72" t="s">
        <v>1976</v>
      </c>
      <c r="D779" s="52" t="s">
        <v>125</v>
      </c>
      <c r="E779" s="69">
        <v>44300</v>
      </c>
    </row>
    <row r="780" spans="1:5" x14ac:dyDescent="0.35">
      <c r="A780" s="51">
        <v>1</v>
      </c>
      <c r="B780" s="35" t="s">
        <v>2256</v>
      </c>
      <c r="C780" s="72" t="s">
        <v>1976</v>
      </c>
      <c r="D780" s="52" t="s">
        <v>125</v>
      </c>
      <c r="E780" s="69">
        <v>44300</v>
      </c>
    </row>
    <row r="781" spans="1:5" x14ac:dyDescent="0.35">
      <c r="A781" s="51">
        <v>1</v>
      </c>
      <c r="B781" s="35" t="s">
        <v>2270</v>
      </c>
      <c r="C781" s="72" t="s">
        <v>1976</v>
      </c>
      <c r="D781" s="52" t="s">
        <v>125</v>
      </c>
      <c r="E781" s="69">
        <v>44300</v>
      </c>
    </row>
    <row r="782" spans="1:5" x14ac:dyDescent="0.35">
      <c r="A782" s="51">
        <v>1</v>
      </c>
      <c r="B782" s="35" t="s">
        <v>2274</v>
      </c>
      <c r="C782" s="72" t="s">
        <v>1976</v>
      </c>
      <c r="D782" s="52" t="s">
        <v>125</v>
      </c>
      <c r="E782" s="69">
        <v>44300</v>
      </c>
    </row>
    <row r="783" spans="1:5" x14ac:dyDescent="0.35">
      <c r="A783" s="51">
        <v>1</v>
      </c>
      <c r="B783" s="35" t="s">
        <v>2284</v>
      </c>
      <c r="C783" s="72" t="s">
        <v>1976</v>
      </c>
      <c r="D783" s="52" t="s">
        <v>125</v>
      </c>
      <c r="E783" s="69">
        <v>44300</v>
      </c>
    </row>
    <row r="784" spans="1:5" x14ac:dyDescent="0.35">
      <c r="A784" s="51">
        <v>1</v>
      </c>
      <c r="B784" s="35" t="s">
        <v>2308</v>
      </c>
      <c r="C784" s="72" t="s">
        <v>1976</v>
      </c>
      <c r="D784" s="52" t="s">
        <v>125</v>
      </c>
      <c r="E784" s="69">
        <v>44300</v>
      </c>
    </row>
    <row r="785" spans="1:5" x14ac:dyDescent="0.35">
      <c r="A785" s="51">
        <v>1</v>
      </c>
      <c r="B785" s="35" t="s">
        <v>2319</v>
      </c>
      <c r="C785" s="72" t="s">
        <v>1976</v>
      </c>
      <c r="D785" s="52" t="s">
        <v>125</v>
      </c>
      <c r="E785" s="69">
        <v>44300</v>
      </c>
    </row>
    <row r="786" spans="1:5" x14ac:dyDescent="0.35">
      <c r="A786" s="51">
        <v>1</v>
      </c>
      <c r="B786" s="35" t="s">
        <v>2320</v>
      </c>
      <c r="C786" s="72" t="s">
        <v>1976</v>
      </c>
      <c r="D786" s="52" t="s">
        <v>125</v>
      </c>
      <c r="E786" s="69">
        <v>44300</v>
      </c>
    </row>
    <row r="787" spans="1:5" x14ac:dyDescent="0.35">
      <c r="A787" s="51">
        <v>1</v>
      </c>
      <c r="B787" s="35" t="s">
        <v>2322</v>
      </c>
      <c r="C787" s="72" t="s">
        <v>1976</v>
      </c>
      <c r="D787" s="52" t="s">
        <v>125</v>
      </c>
      <c r="E787" s="69">
        <v>44300</v>
      </c>
    </row>
    <row r="788" spans="1:5" x14ac:dyDescent="0.35">
      <c r="A788" s="51">
        <v>1</v>
      </c>
      <c r="B788" s="39" t="s">
        <v>2326</v>
      </c>
      <c r="C788" s="72" t="s">
        <v>1968</v>
      </c>
      <c r="D788" s="52" t="s">
        <v>125</v>
      </c>
      <c r="E788" s="69">
        <v>44300</v>
      </c>
    </row>
    <row r="789" spans="1:5" x14ac:dyDescent="0.35">
      <c r="A789" s="51">
        <v>1</v>
      </c>
      <c r="B789" s="52" t="s">
        <v>2327</v>
      </c>
      <c r="C789" s="72" t="s">
        <v>1968</v>
      </c>
      <c r="D789" s="52" t="s">
        <v>125</v>
      </c>
      <c r="E789" s="69">
        <v>44300</v>
      </c>
    </row>
    <row r="790" spans="1:5" x14ac:dyDescent="0.35">
      <c r="A790" s="51">
        <v>1</v>
      </c>
      <c r="B790" s="86" t="s">
        <v>2232</v>
      </c>
      <c r="C790" s="72" t="s">
        <v>1970</v>
      </c>
      <c r="D790" s="52" t="s">
        <v>127</v>
      </c>
      <c r="E790" s="69">
        <v>44314</v>
      </c>
    </row>
    <row r="791" spans="1:5" x14ac:dyDescent="0.35">
      <c r="A791" s="51">
        <v>1</v>
      </c>
      <c r="B791" s="35" t="s">
        <v>2245</v>
      </c>
      <c r="C791" s="72" t="s">
        <v>1970</v>
      </c>
      <c r="D791" s="52" t="s">
        <v>127</v>
      </c>
      <c r="E791" s="69">
        <v>44314</v>
      </c>
    </row>
    <row r="792" spans="1:5" x14ac:dyDescent="0.35">
      <c r="A792" s="51">
        <v>1</v>
      </c>
      <c r="B792" s="35" t="s">
        <v>2247</v>
      </c>
      <c r="C792" s="72" t="s">
        <v>1970</v>
      </c>
      <c r="D792" s="52" t="s">
        <v>127</v>
      </c>
      <c r="E792" s="69">
        <v>44314</v>
      </c>
    </row>
    <row r="793" spans="1:5" x14ac:dyDescent="0.35">
      <c r="A793" s="51">
        <v>1</v>
      </c>
      <c r="B793" s="35" t="s">
        <v>2298</v>
      </c>
      <c r="C793" s="72" t="s">
        <v>1970</v>
      </c>
      <c r="D793" s="52" t="s">
        <v>127</v>
      </c>
      <c r="E793" s="69">
        <v>44314</v>
      </c>
    </row>
    <row r="794" spans="1:5" x14ac:dyDescent="0.35">
      <c r="A794" s="51">
        <v>1</v>
      </c>
      <c r="B794" s="35" t="s">
        <v>2309</v>
      </c>
      <c r="C794" s="72" t="s">
        <v>1970</v>
      </c>
      <c r="D794" s="52" t="s">
        <v>127</v>
      </c>
      <c r="E794" s="69">
        <v>44314</v>
      </c>
    </row>
    <row r="795" spans="1:5" x14ac:dyDescent="0.35">
      <c r="A795" s="51">
        <v>1</v>
      </c>
      <c r="B795" s="35" t="s">
        <v>2310</v>
      </c>
      <c r="C795" s="72" t="s">
        <v>1970</v>
      </c>
      <c r="D795" s="52" t="s">
        <v>127</v>
      </c>
      <c r="E795" s="69">
        <v>44314</v>
      </c>
    </row>
    <row r="796" spans="1:5" x14ac:dyDescent="0.35">
      <c r="A796" s="51">
        <v>1</v>
      </c>
      <c r="B796" s="35" t="s">
        <v>2319</v>
      </c>
      <c r="C796" s="72" t="s">
        <v>1970</v>
      </c>
      <c r="D796" s="52" t="s">
        <v>127</v>
      </c>
      <c r="E796" s="69">
        <v>44314</v>
      </c>
    </row>
    <row r="797" spans="1:5" x14ac:dyDescent="0.35">
      <c r="A797" s="51">
        <v>1</v>
      </c>
      <c r="B797" s="35" t="s">
        <v>2321</v>
      </c>
      <c r="C797" s="72" t="s">
        <v>1970</v>
      </c>
      <c r="D797" s="52" t="s">
        <v>127</v>
      </c>
      <c r="E797" s="69">
        <v>44314</v>
      </c>
    </row>
    <row r="798" spans="1:5" x14ac:dyDescent="0.35">
      <c r="A798" s="51">
        <v>1</v>
      </c>
      <c r="B798" s="35" t="s">
        <v>2322</v>
      </c>
      <c r="C798" s="72" t="s">
        <v>1970</v>
      </c>
      <c r="D798" s="52" t="s">
        <v>127</v>
      </c>
      <c r="E798" s="69">
        <v>44314</v>
      </c>
    </row>
    <row r="799" spans="1:5" x14ac:dyDescent="0.35">
      <c r="A799" s="51">
        <v>1</v>
      </c>
      <c r="B799" s="39" t="s">
        <v>2326</v>
      </c>
      <c r="C799" s="72" t="s">
        <v>1975</v>
      </c>
      <c r="D799" s="52" t="s">
        <v>127</v>
      </c>
      <c r="E799" s="69">
        <v>44314</v>
      </c>
    </row>
    <row r="800" spans="1:5" x14ac:dyDescent="0.35">
      <c r="A800" s="51">
        <v>1</v>
      </c>
      <c r="B800" s="52" t="s">
        <v>2285</v>
      </c>
      <c r="C800" s="72" t="s">
        <v>1976</v>
      </c>
      <c r="D800" s="52" t="s">
        <v>127</v>
      </c>
      <c r="E800" s="69">
        <v>44314</v>
      </c>
    </row>
    <row r="801" spans="1:5" x14ac:dyDescent="0.35">
      <c r="A801" s="51">
        <v>1</v>
      </c>
      <c r="B801" s="52" t="s">
        <v>2274</v>
      </c>
      <c r="C801" s="72" t="s">
        <v>1976</v>
      </c>
      <c r="D801" s="52" t="s">
        <v>127</v>
      </c>
      <c r="E801" s="69">
        <v>44314</v>
      </c>
    </row>
    <row r="802" spans="1:5" x14ac:dyDescent="0.35">
      <c r="A802" s="51">
        <v>1</v>
      </c>
      <c r="B802" s="52" t="s">
        <v>2327</v>
      </c>
      <c r="C802" s="72" t="s">
        <v>1968</v>
      </c>
      <c r="D802" s="52" t="s">
        <v>127</v>
      </c>
      <c r="E802" s="69">
        <v>44314</v>
      </c>
    </row>
    <row r="803" spans="1:5" x14ac:dyDescent="0.35">
      <c r="A803" s="51">
        <v>1</v>
      </c>
      <c r="B803" s="52" t="s">
        <v>2328</v>
      </c>
      <c r="C803" s="72" t="s">
        <v>1968</v>
      </c>
      <c r="D803" s="52" t="s">
        <v>127</v>
      </c>
      <c r="E803" s="69">
        <v>44314</v>
      </c>
    </row>
    <row r="804" spans="1:5" x14ac:dyDescent="0.35">
      <c r="A804" s="51">
        <v>1</v>
      </c>
      <c r="B804" s="52" t="s">
        <v>2329</v>
      </c>
      <c r="C804" s="72" t="s">
        <v>1968</v>
      </c>
      <c r="D804" s="52" t="s">
        <v>127</v>
      </c>
      <c r="E804" s="69">
        <v>44314</v>
      </c>
    </row>
    <row r="805" spans="1:5" x14ac:dyDescent="0.35">
      <c r="A805" s="51">
        <v>1</v>
      </c>
      <c r="B805" s="52" t="s">
        <v>2274</v>
      </c>
      <c r="C805" s="72" t="s">
        <v>1970</v>
      </c>
      <c r="D805" s="52" t="s">
        <v>127</v>
      </c>
      <c r="E805" s="69">
        <v>44314</v>
      </c>
    </row>
    <row r="806" spans="1:5" hidden="1" x14ac:dyDescent="0.35">
      <c r="A806" s="51">
        <v>1</v>
      </c>
      <c r="B806" s="86" t="s">
        <v>2330</v>
      </c>
      <c r="C806" s="72" t="s">
        <v>1969</v>
      </c>
      <c r="D806" s="52" t="s">
        <v>131</v>
      </c>
      <c r="E806" s="69">
        <v>44326</v>
      </c>
    </row>
    <row r="807" spans="1:5" x14ac:dyDescent="0.35">
      <c r="A807" s="51">
        <v>1</v>
      </c>
      <c r="B807" s="35" t="s">
        <v>2331</v>
      </c>
      <c r="C807" s="72" t="s">
        <v>1968</v>
      </c>
      <c r="D807" s="52" t="s">
        <v>131</v>
      </c>
      <c r="E807" s="69">
        <v>44326</v>
      </c>
    </row>
    <row r="808" spans="1:5" x14ac:dyDescent="0.35">
      <c r="A808" s="51">
        <v>1</v>
      </c>
      <c r="B808" s="35" t="s">
        <v>2332</v>
      </c>
      <c r="C808" s="72" t="s">
        <v>1968</v>
      </c>
      <c r="D808" s="52" t="s">
        <v>131</v>
      </c>
      <c r="E808" s="69">
        <v>44326</v>
      </c>
    </row>
    <row r="809" spans="1:5" x14ac:dyDescent="0.35">
      <c r="A809" s="51">
        <v>1</v>
      </c>
      <c r="B809" s="35" t="s">
        <v>2333</v>
      </c>
      <c r="C809" s="72" t="s">
        <v>1968</v>
      </c>
      <c r="D809" s="52" t="s">
        <v>131</v>
      </c>
      <c r="E809" s="69">
        <v>44326</v>
      </c>
    </row>
    <row r="810" spans="1:5" x14ac:dyDescent="0.35">
      <c r="A810" s="51">
        <v>1</v>
      </c>
      <c r="B810" s="35" t="s">
        <v>2334</v>
      </c>
      <c r="C810" s="72" t="s">
        <v>1968</v>
      </c>
      <c r="D810" s="52" t="s">
        <v>131</v>
      </c>
      <c r="E810" s="69">
        <v>44326</v>
      </c>
    </row>
    <row r="811" spans="1:5" hidden="1" x14ac:dyDescent="0.35">
      <c r="A811" s="51">
        <v>1</v>
      </c>
      <c r="B811" s="52" t="s">
        <v>133</v>
      </c>
      <c r="C811" s="72" t="s">
        <v>1972</v>
      </c>
      <c r="D811" s="52" t="s">
        <v>131</v>
      </c>
      <c r="E811" s="69">
        <v>44326</v>
      </c>
    </row>
    <row r="812" spans="1:5" x14ac:dyDescent="0.35">
      <c r="A812" s="51">
        <v>1</v>
      </c>
      <c r="B812" s="86" t="s">
        <v>2253</v>
      </c>
      <c r="C812" s="72" t="s">
        <v>1976</v>
      </c>
      <c r="D812" s="52" t="s">
        <v>134</v>
      </c>
      <c r="E812" s="69">
        <v>44340</v>
      </c>
    </row>
    <row r="813" spans="1:5" x14ac:dyDescent="0.35">
      <c r="A813" s="51">
        <v>1</v>
      </c>
      <c r="B813" s="35" t="s">
        <v>2323</v>
      </c>
      <c r="C813" s="72" t="s">
        <v>1976</v>
      </c>
      <c r="D813" s="52" t="s">
        <v>134</v>
      </c>
      <c r="E813" s="69">
        <v>44340</v>
      </c>
    </row>
    <row r="814" spans="1:5" x14ac:dyDescent="0.35">
      <c r="A814" s="51">
        <v>1</v>
      </c>
      <c r="B814" s="35" t="s">
        <v>2324</v>
      </c>
      <c r="C814" s="72" t="s">
        <v>1976</v>
      </c>
      <c r="D814" s="52" t="s">
        <v>134</v>
      </c>
      <c r="E814" s="69">
        <v>44340</v>
      </c>
    </row>
    <row r="815" spans="1:5" x14ac:dyDescent="0.35">
      <c r="A815" s="51">
        <v>1</v>
      </c>
      <c r="B815" s="35" t="s">
        <v>2326</v>
      </c>
      <c r="C815" s="72" t="s">
        <v>1976</v>
      </c>
      <c r="D815" s="52" t="s">
        <v>134</v>
      </c>
      <c r="E815" s="69">
        <v>44340</v>
      </c>
    </row>
    <row r="816" spans="1:5" x14ac:dyDescent="0.35">
      <c r="A816" s="51">
        <v>1</v>
      </c>
      <c r="B816" s="35" t="s">
        <v>2328</v>
      </c>
      <c r="C816" s="72" t="s">
        <v>1976</v>
      </c>
      <c r="D816" s="52" t="s">
        <v>134</v>
      </c>
      <c r="E816" s="69">
        <v>44340</v>
      </c>
    </row>
    <row r="817" spans="1:5" x14ac:dyDescent="0.35">
      <c r="A817" s="51">
        <v>1</v>
      </c>
      <c r="B817" s="35" t="s">
        <v>2329</v>
      </c>
      <c r="C817" s="72" t="s">
        <v>1976</v>
      </c>
      <c r="D817" s="52" t="s">
        <v>134</v>
      </c>
      <c r="E817" s="69">
        <v>44340</v>
      </c>
    </row>
    <row r="818" spans="1:5" x14ac:dyDescent="0.35">
      <c r="A818" s="51">
        <v>1</v>
      </c>
      <c r="B818" s="86" t="s">
        <v>2125</v>
      </c>
      <c r="C818" s="72" t="s">
        <v>1970</v>
      </c>
      <c r="D818" s="52" t="s">
        <v>136</v>
      </c>
      <c r="E818" s="69">
        <v>44351</v>
      </c>
    </row>
    <row r="819" spans="1:5" x14ac:dyDescent="0.35">
      <c r="A819" s="51">
        <v>1</v>
      </c>
      <c r="B819" s="35" t="s">
        <v>2256</v>
      </c>
      <c r="C819" s="72" t="s">
        <v>1970</v>
      </c>
      <c r="D819" s="52" t="s">
        <v>136</v>
      </c>
      <c r="E819" s="69">
        <v>44351</v>
      </c>
    </row>
    <row r="820" spans="1:5" x14ac:dyDescent="0.35">
      <c r="A820" s="51">
        <v>1</v>
      </c>
      <c r="B820" s="35" t="s">
        <v>2270</v>
      </c>
      <c r="C820" s="72" t="s">
        <v>1970</v>
      </c>
      <c r="D820" s="52" t="s">
        <v>136</v>
      </c>
      <c r="E820" s="69">
        <v>44351</v>
      </c>
    </row>
    <row r="821" spans="1:5" x14ac:dyDescent="0.35">
      <c r="A821" s="51">
        <v>1</v>
      </c>
      <c r="B821" s="35" t="s">
        <v>2284</v>
      </c>
      <c r="C821" s="72" t="s">
        <v>1970</v>
      </c>
      <c r="D821" s="52" t="s">
        <v>136</v>
      </c>
      <c r="E821" s="69">
        <v>44351</v>
      </c>
    </row>
    <row r="822" spans="1:5" x14ac:dyDescent="0.35">
      <c r="A822" s="51">
        <v>1</v>
      </c>
      <c r="B822" s="35" t="s">
        <v>2308</v>
      </c>
      <c r="C822" s="72" t="s">
        <v>1970</v>
      </c>
      <c r="D822" s="52" t="s">
        <v>136</v>
      </c>
      <c r="E822" s="69">
        <v>44351</v>
      </c>
    </row>
    <row r="823" spans="1:5" x14ac:dyDescent="0.35">
      <c r="A823" s="51">
        <v>1</v>
      </c>
      <c r="B823" s="35" t="s">
        <v>2320</v>
      </c>
      <c r="C823" s="72" t="s">
        <v>1970</v>
      </c>
      <c r="D823" s="52" t="s">
        <v>136</v>
      </c>
      <c r="E823" s="69">
        <v>44351</v>
      </c>
    </row>
    <row r="824" spans="1:5" x14ac:dyDescent="0.35">
      <c r="A824" s="51">
        <v>1</v>
      </c>
      <c r="B824" s="35" t="s">
        <v>2334</v>
      </c>
      <c r="C824" s="72" t="s">
        <v>1970</v>
      </c>
      <c r="D824" s="52" t="s">
        <v>136</v>
      </c>
      <c r="E824" s="69">
        <v>44351</v>
      </c>
    </row>
    <row r="825" spans="1:5" x14ac:dyDescent="0.35">
      <c r="A825" s="51">
        <v>1</v>
      </c>
      <c r="B825" s="52" t="s">
        <v>2209</v>
      </c>
      <c r="C825" s="72" t="s">
        <v>1976</v>
      </c>
      <c r="D825" s="52" t="s">
        <v>136</v>
      </c>
      <c r="E825" s="69">
        <v>44351</v>
      </c>
    </row>
    <row r="826" spans="1:5" x14ac:dyDescent="0.35">
      <c r="A826" s="51">
        <v>1</v>
      </c>
      <c r="B826" s="52" t="s">
        <v>2253</v>
      </c>
      <c r="C826" s="72" t="s">
        <v>1976</v>
      </c>
      <c r="D826" s="52" t="s">
        <v>136</v>
      </c>
      <c r="E826" s="69">
        <v>44351</v>
      </c>
    </row>
    <row r="827" spans="1:5" x14ac:dyDescent="0.35">
      <c r="A827" s="51">
        <v>1</v>
      </c>
      <c r="B827" s="52" t="s">
        <v>2323</v>
      </c>
      <c r="C827" s="72" t="s">
        <v>1976</v>
      </c>
      <c r="D827" s="52" t="s">
        <v>136</v>
      </c>
      <c r="E827" s="69">
        <v>44351</v>
      </c>
    </row>
    <row r="828" spans="1:5" x14ac:dyDescent="0.35">
      <c r="A828" s="51">
        <v>1</v>
      </c>
      <c r="B828" s="52" t="s">
        <v>2326</v>
      </c>
      <c r="C828" s="72" t="s">
        <v>1976</v>
      </c>
      <c r="D828" s="52" t="s">
        <v>136</v>
      </c>
      <c r="E828" s="69">
        <v>44351</v>
      </c>
    </row>
    <row r="829" spans="1:5" x14ac:dyDescent="0.35">
      <c r="A829" s="51">
        <v>1</v>
      </c>
      <c r="B829" s="52" t="s">
        <v>2335</v>
      </c>
      <c r="C829" s="72" t="s">
        <v>1968</v>
      </c>
      <c r="D829" s="52" t="s">
        <v>136</v>
      </c>
      <c r="E829" s="69">
        <v>44351</v>
      </c>
    </row>
    <row r="830" spans="1:5" x14ac:dyDescent="0.35">
      <c r="A830" s="51">
        <v>1</v>
      </c>
      <c r="B830" s="52" t="s">
        <v>2336</v>
      </c>
      <c r="C830" s="72" t="s">
        <v>1968</v>
      </c>
      <c r="D830" s="52" t="s">
        <v>136</v>
      </c>
      <c r="E830" s="69">
        <v>44351</v>
      </c>
    </row>
    <row r="831" spans="1:5" x14ac:dyDescent="0.35">
      <c r="A831" s="51">
        <v>1</v>
      </c>
      <c r="B831" s="52" t="s">
        <v>2337</v>
      </c>
      <c r="C831" s="72" t="s">
        <v>1968</v>
      </c>
      <c r="D831" s="52" t="s">
        <v>140</v>
      </c>
      <c r="E831" s="69">
        <v>44368</v>
      </c>
    </row>
    <row r="832" spans="1:5" x14ac:dyDescent="0.35">
      <c r="A832" s="51">
        <v>1</v>
      </c>
      <c r="B832" s="52" t="s">
        <v>2338</v>
      </c>
      <c r="C832" s="72" t="s">
        <v>1968</v>
      </c>
      <c r="D832" s="52" t="s">
        <v>140</v>
      </c>
      <c r="E832" s="69">
        <v>44368</v>
      </c>
    </row>
    <row r="833" spans="1:5" x14ac:dyDescent="0.35">
      <c r="A833" s="51">
        <v>1</v>
      </c>
      <c r="B833" s="52" t="s">
        <v>2339</v>
      </c>
      <c r="C833" s="72" t="s">
        <v>1968</v>
      </c>
      <c r="D833" s="52" t="s">
        <v>140</v>
      </c>
      <c r="E833" s="69">
        <v>44368</v>
      </c>
    </row>
    <row r="834" spans="1:5" x14ac:dyDescent="0.35">
      <c r="A834" s="51">
        <v>1</v>
      </c>
      <c r="B834" s="52" t="s">
        <v>2285</v>
      </c>
      <c r="C834" s="72" t="s">
        <v>1976</v>
      </c>
      <c r="D834" s="52" t="s">
        <v>140</v>
      </c>
      <c r="E834" s="69">
        <v>44368</v>
      </c>
    </row>
    <row r="835" spans="1:5" x14ac:dyDescent="0.35">
      <c r="A835" s="51">
        <v>1</v>
      </c>
      <c r="B835" s="52" t="s">
        <v>2323</v>
      </c>
      <c r="C835" s="72" t="s">
        <v>1976</v>
      </c>
      <c r="D835" s="52" t="s">
        <v>140</v>
      </c>
      <c r="E835" s="69">
        <v>44368</v>
      </c>
    </row>
    <row r="836" spans="1:5" x14ac:dyDescent="0.35">
      <c r="A836" s="51">
        <v>1</v>
      </c>
      <c r="B836" s="86" t="s">
        <v>2158</v>
      </c>
      <c r="C836" s="72" t="s">
        <v>1976</v>
      </c>
      <c r="D836" s="52" t="s">
        <v>143</v>
      </c>
      <c r="E836" s="69">
        <v>44382</v>
      </c>
    </row>
    <row r="837" spans="1:5" x14ac:dyDescent="0.35">
      <c r="A837" s="51">
        <v>1</v>
      </c>
      <c r="B837" s="35" t="s">
        <v>2162</v>
      </c>
      <c r="C837" s="72" t="s">
        <v>1976</v>
      </c>
      <c r="D837" s="52" t="s">
        <v>143</v>
      </c>
      <c r="E837" s="69">
        <v>44382</v>
      </c>
    </row>
    <row r="838" spans="1:5" x14ac:dyDescent="0.35">
      <c r="A838" s="51">
        <v>1</v>
      </c>
      <c r="B838" s="35" t="s">
        <v>2285</v>
      </c>
      <c r="C838" s="72" t="s">
        <v>1976</v>
      </c>
      <c r="D838" s="52" t="s">
        <v>143</v>
      </c>
      <c r="E838" s="69">
        <v>44382</v>
      </c>
    </row>
    <row r="839" spans="1:5" x14ac:dyDescent="0.35">
      <c r="A839" s="51">
        <v>1</v>
      </c>
      <c r="B839" s="35" t="s">
        <v>2323</v>
      </c>
      <c r="C839" s="72" t="s">
        <v>1976</v>
      </c>
      <c r="D839" s="52" t="s">
        <v>143</v>
      </c>
      <c r="E839" s="69">
        <v>44382</v>
      </c>
    </row>
    <row r="840" spans="1:5" x14ac:dyDescent="0.35">
      <c r="A840" s="51">
        <v>1</v>
      </c>
      <c r="B840" s="35" t="s">
        <v>2326</v>
      </c>
      <c r="C840" s="72" t="s">
        <v>1976</v>
      </c>
      <c r="D840" s="52" t="s">
        <v>143</v>
      </c>
      <c r="E840" s="69">
        <v>44382</v>
      </c>
    </row>
    <row r="841" spans="1:5" x14ac:dyDescent="0.35">
      <c r="A841" s="51">
        <v>1</v>
      </c>
      <c r="B841" s="35" t="s">
        <v>2327</v>
      </c>
      <c r="C841" s="72" t="s">
        <v>1976</v>
      </c>
      <c r="D841" s="52" t="s">
        <v>143</v>
      </c>
      <c r="E841" s="69">
        <v>44382</v>
      </c>
    </row>
    <row r="842" spans="1:5" x14ac:dyDescent="0.35">
      <c r="A842" s="51">
        <v>1</v>
      </c>
      <c r="B842" s="35" t="s">
        <v>2338</v>
      </c>
      <c r="C842" s="72" t="s">
        <v>1976</v>
      </c>
      <c r="D842" s="52" t="s">
        <v>143</v>
      </c>
      <c r="E842" s="69">
        <v>44382</v>
      </c>
    </row>
    <row r="843" spans="1:5" x14ac:dyDescent="0.35">
      <c r="A843" s="51">
        <v>1</v>
      </c>
      <c r="B843" s="39" t="s">
        <v>2251</v>
      </c>
      <c r="C843" s="72" t="s">
        <v>1975</v>
      </c>
      <c r="D843" s="52" t="s">
        <v>143</v>
      </c>
      <c r="E843" s="69">
        <v>44382</v>
      </c>
    </row>
    <row r="844" spans="1:5" x14ac:dyDescent="0.35">
      <c r="A844" s="51">
        <v>1</v>
      </c>
      <c r="B844" s="52" t="s">
        <v>2340</v>
      </c>
      <c r="C844" s="72" t="s">
        <v>1968</v>
      </c>
      <c r="D844" s="52" t="s">
        <v>143</v>
      </c>
      <c r="E844" s="69">
        <v>44382</v>
      </c>
    </row>
    <row r="845" spans="1:5" x14ac:dyDescent="0.35">
      <c r="A845" s="51">
        <v>1</v>
      </c>
      <c r="B845" s="52" t="s">
        <v>2341</v>
      </c>
      <c r="C845" s="72" t="s">
        <v>1968</v>
      </c>
      <c r="D845" s="52" t="s">
        <v>143</v>
      </c>
      <c r="E845" s="69">
        <v>44382</v>
      </c>
    </row>
    <row r="846" spans="1:5" x14ac:dyDescent="0.35">
      <c r="A846" s="51">
        <v>1</v>
      </c>
      <c r="B846" s="52" t="s">
        <v>2098</v>
      </c>
      <c r="C846" s="72" t="s">
        <v>1970</v>
      </c>
      <c r="D846" s="52" t="s">
        <v>146</v>
      </c>
      <c r="E846" s="69">
        <v>44399</v>
      </c>
    </row>
    <row r="847" spans="1:5" x14ac:dyDescent="0.35">
      <c r="A847" s="51">
        <v>1</v>
      </c>
      <c r="B847" s="52" t="s">
        <v>2209</v>
      </c>
      <c r="C847" s="72" t="s">
        <v>1970</v>
      </c>
      <c r="D847" s="52" t="s">
        <v>146</v>
      </c>
      <c r="E847" s="69">
        <v>44399</v>
      </c>
    </row>
    <row r="848" spans="1:5" x14ac:dyDescent="0.35">
      <c r="A848" s="51">
        <v>1</v>
      </c>
      <c r="B848" s="52" t="s">
        <v>2337</v>
      </c>
      <c r="C848" s="72" t="s">
        <v>1970</v>
      </c>
      <c r="D848" s="52" t="s">
        <v>146</v>
      </c>
      <c r="E848" s="69">
        <v>44399</v>
      </c>
    </row>
    <row r="849" spans="1:5" x14ac:dyDescent="0.35">
      <c r="A849" s="51">
        <v>1</v>
      </c>
      <c r="B849" s="52" t="s">
        <v>2342</v>
      </c>
      <c r="C849" s="72" t="s">
        <v>1968</v>
      </c>
      <c r="D849" s="52" t="s">
        <v>146</v>
      </c>
      <c r="E849" s="69">
        <v>44399</v>
      </c>
    </row>
    <row r="850" spans="1:5" x14ac:dyDescent="0.35">
      <c r="A850" s="51">
        <v>1</v>
      </c>
      <c r="B850" s="52" t="s">
        <v>2343</v>
      </c>
      <c r="C850" s="72" t="s">
        <v>1968</v>
      </c>
      <c r="D850" s="52" t="s">
        <v>146</v>
      </c>
      <c r="E850" s="69">
        <v>44399</v>
      </c>
    </row>
    <row r="851" spans="1:5" x14ac:dyDescent="0.35">
      <c r="A851" s="51">
        <v>1</v>
      </c>
      <c r="B851" s="52" t="s">
        <v>2344</v>
      </c>
      <c r="C851" s="72" t="s">
        <v>1968</v>
      </c>
      <c r="D851" s="52" t="s">
        <v>146</v>
      </c>
      <c r="E851" s="69">
        <v>44399</v>
      </c>
    </row>
    <row r="852" spans="1:5" x14ac:dyDescent="0.35">
      <c r="A852" s="51">
        <v>1</v>
      </c>
      <c r="B852" s="52" t="s">
        <v>2345</v>
      </c>
      <c r="C852" s="72" t="s">
        <v>1968</v>
      </c>
      <c r="D852" s="52" t="s">
        <v>146</v>
      </c>
      <c r="E852" s="69">
        <v>44399</v>
      </c>
    </row>
    <row r="853" spans="1:5" x14ac:dyDescent="0.35">
      <c r="A853" s="51">
        <v>1</v>
      </c>
      <c r="B853" s="86" t="s">
        <v>2224</v>
      </c>
      <c r="C853" s="72" t="s">
        <v>1976</v>
      </c>
      <c r="D853" s="52" t="s">
        <v>146</v>
      </c>
      <c r="E853" s="69">
        <v>44399</v>
      </c>
    </row>
    <row r="854" spans="1:5" x14ac:dyDescent="0.35">
      <c r="A854" s="51">
        <v>1</v>
      </c>
      <c r="B854" s="35" t="s">
        <v>2253</v>
      </c>
      <c r="C854" s="72" t="s">
        <v>1976</v>
      </c>
      <c r="D854" s="52" t="s">
        <v>146</v>
      </c>
      <c r="E854" s="69">
        <v>44399</v>
      </c>
    </row>
    <row r="855" spans="1:5" x14ac:dyDescent="0.35">
      <c r="A855" s="51">
        <v>1</v>
      </c>
      <c r="B855" s="35" t="s">
        <v>2287</v>
      </c>
      <c r="C855" s="72" t="s">
        <v>1976</v>
      </c>
      <c r="D855" s="52" t="s">
        <v>146</v>
      </c>
      <c r="E855" s="69">
        <v>44399</v>
      </c>
    </row>
    <row r="856" spans="1:5" x14ac:dyDescent="0.35">
      <c r="A856" s="51">
        <v>1</v>
      </c>
      <c r="B856" s="35" t="s">
        <v>2323</v>
      </c>
      <c r="C856" s="72" t="s">
        <v>1976</v>
      </c>
      <c r="D856" s="52" t="s">
        <v>146</v>
      </c>
      <c r="E856" s="69">
        <v>44399</v>
      </c>
    </row>
    <row r="857" spans="1:5" x14ac:dyDescent="0.35">
      <c r="A857" s="51">
        <v>1</v>
      </c>
      <c r="B857" s="35" t="s">
        <v>2329</v>
      </c>
      <c r="C857" s="72" t="s">
        <v>1976</v>
      </c>
      <c r="D857" s="52" t="s">
        <v>146</v>
      </c>
      <c r="E857" s="69">
        <v>44399</v>
      </c>
    </row>
    <row r="858" spans="1:5" x14ac:dyDescent="0.35">
      <c r="A858" s="51">
        <v>1</v>
      </c>
      <c r="B858" s="35" t="s">
        <v>2331</v>
      </c>
      <c r="C858" s="72" t="s">
        <v>1976</v>
      </c>
      <c r="D858" s="52" t="s">
        <v>146</v>
      </c>
      <c r="E858" s="69">
        <v>44399</v>
      </c>
    </row>
    <row r="859" spans="1:5" x14ac:dyDescent="0.35">
      <c r="A859" s="51">
        <v>1</v>
      </c>
      <c r="B859" s="35" t="s">
        <v>2333</v>
      </c>
      <c r="C859" s="72" t="s">
        <v>1976</v>
      </c>
      <c r="D859" s="52" t="s">
        <v>146</v>
      </c>
      <c r="E859" s="69">
        <v>44399</v>
      </c>
    </row>
    <row r="860" spans="1:5" x14ac:dyDescent="0.35">
      <c r="A860" s="51">
        <v>1</v>
      </c>
      <c r="B860" s="35" t="s">
        <v>2335</v>
      </c>
      <c r="C860" s="72" t="s">
        <v>1976</v>
      </c>
      <c r="D860" s="52" t="s">
        <v>146</v>
      </c>
      <c r="E860" s="69">
        <v>44399</v>
      </c>
    </row>
    <row r="861" spans="1:5" x14ac:dyDescent="0.35">
      <c r="A861" s="51">
        <v>1</v>
      </c>
      <c r="B861" s="39" t="s">
        <v>2257</v>
      </c>
      <c r="C861" s="72" t="s">
        <v>1976</v>
      </c>
      <c r="D861" s="52" t="s">
        <v>146</v>
      </c>
      <c r="E861" s="69">
        <v>44399</v>
      </c>
    </row>
    <row r="862" spans="1:5" x14ac:dyDescent="0.35">
      <c r="A862" s="51">
        <v>1</v>
      </c>
      <c r="B862" s="52" t="s">
        <v>2346</v>
      </c>
      <c r="C862" s="72" t="s">
        <v>1968</v>
      </c>
      <c r="D862" s="52" t="s">
        <v>146</v>
      </c>
      <c r="E862" s="69">
        <v>44399</v>
      </c>
    </row>
    <row r="863" spans="1:5" x14ac:dyDescent="0.35">
      <c r="A863" s="51">
        <v>1</v>
      </c>
      <c r="B863" s="52" t="s">
        <v>2347</v>
      </c>
      <c r="C863" s="72" t="s">
        <v>1968</v>
      </c>
      <c r="D863" s="52" t="s">
        <v>150</v>
      </c>
      <c r="E863" s="69">
        <v>44410</v>
      </c>
    </row>
    <row r="864" spans="1:5" x14ac:dyDescent="0.35">
      <c r="A864" s="51">
        <v>1</v>
      </c>
      <c r="B864" s="52" t="s">
        <v>2348</v>
      </c>
      <c r="C864" s="72" t="s">
        <v>1968</v>
      </c>
      <c r="D864" s="52" t="s">
        <v>150</v>
      </c>
      <c r="E864" s="69">
        <v>44410</v>
      </c>
    </row>
    <row r="865" spans="1:5" x14ac:dyDescent="0.35">
      <c r="A865" s="51">
        <v>1</v>
      </c>
      <c r="B865" s="52" t="s">
        <v>2349</v>
      </c>
      <c r="C865" s="72" t="s">
        <v>1968</v>
      </c>
      <c r="D865" s="52" t="s">
        <v>150</v>
      </c>
      <c r="E865" s="69">
        <v>44410</v>
      </c>
    </row>
    <row r="866" spans="1:5" x14ac:dyDescent="0.35">
      <c r="A866" s="51">
        <v>1</v>
      </c>
      <c r="B866" s="52" t="s">
        <v>2350</v>
      </c>
      <c r="C866" s="72" t="s">
        <v>1968</v>
      </c>
      <c r="D866" s="52" t="s">
        <v>150</v>
      </c>
      <c r="E866" s="69">
        <v>44410</v>
      </c>
    </row>
    <row r="867" spans="1:5" x14ac:dyDescent="0.35">
      <c r="A867" s="51">
        <v>1</v>
      </c>
      <c r="B867" s="86" t="s">
        <v>2351</v>
      </c>
      <c r="C867" s="72" t="s">
        <v>1976</v>
      </c>
      <c r="D867" s="52" t="s">
        <v>150</v>
      </c>
      <c r="E867" s="69">
        <v>44410</v>
      </c>
    </row>
    <row r="868" spans="1:5" x14ac:dyDescent="0.35">
      <c r="A868" s="51">
        <v>1</v>
      </c>
      <c r="B868" s="35" t="s">
        <v>2352</v>
      </c>
      <c r="C868" s="72" t="s">
        <v>1976</v>
      </c>
      <c r="D868" s="52" t="s">
        <v>150</v>
      </c>
      <c r="E868" s="69">
        <v>44410</v>
      </c>
    </row>
    <row r="869" spans="1:5" x14ac:dyDescent="0.35">
      <c r="A869" s="51">
        <v>1</v>
      </c>
      <c r="B869" s="35" t="s">
        <v>2117</v>
      </c>
      <c r="C869" s="72" t="s">
        <v>1976</v>
      </c>
      <c r="D869" s="52" t="s">
        <v>150</v>
      </c>
      <c r="E869" s="69">
        <v>44410</v>
      </c>
    </row>
    <row r="870" spans="1:5" x14ac:dyDescent="0.35">
      <c r="A870" s="51">
        <v>1</v>
      </c>
      <c r="B870" s="35" t="s">
        <v>2173</v>
      </c>
      <c r="C870" s="72" t="s">
        <v>1976</v>
      </c>
      <c r="D870" s="52" t="s">
        <v>150</v>
      </c>
      <c r="E870" s="69">
        <v>44410</v>
      </c>
    </row>
    <row r="871" spans="1:5" x14ac:dyDescent="0.35">
      <c r="A871" s="51">
        <v>1</v>
      </c>
      <c r="B871" s="35" t="s">
        <v>2181</v>
      </c>
      <c r="C871" s="72" t="s">
        <v>1976</v>
      </c>
      <c r="D871" s="52" t="s">
        <v>150</v>
      </c>
      <c r="E871" s="69">
        <v>44410</v>
      </c>
    </row>
    <row r="872" spans="1:5" x14ac:dyDescent="0.35">
      <c r="A872" s="51">
        <v>1</v>
      </c>
      <c r="B872" s="35" t="s">
        <v>2212</v>
      </c>
      <c r="C872" s="72" t="s">
        <v>1976</v>
      </c>
      <c r="D872" s="52" t="s">
        <v>150</v>
      </c>
      <c r="E872" s="69">
        <v>44410</v>
      </c>
    </row>
    <row r="873" spans="1:5" x14ac:dyDescent="0.35">
      <c r="A873" s="51">
        <v>1</v>
      </c>
      <c r="B873" s="35" t="s">
        <v>2288</v>
      </c>
      <c r="C873" s="72" t="s">
        <v>1976</v>
      </c>
      <c r="D873" s="52" t="s">
        <v>150</v>
      </c>
      <c r="E873" s="69">
        <v>44410</v>
      </c>
    </row>
    <row r="874" spans="1:5" x14ac:dyDescent="0.35">
      <c r="A874" s="51">
        <v>1</v>
      </c>
      <c r="B874" s="35" t="s">
        <v>2327</v>
      </c>
      <c r="C874" s="72" t="s">
        <v>1976</v>
      </c>
      <c r="D874" s="52" t="s">
        <v>150</v>
      </c>
      <c r="E874" s="69">
        <v>44410</v>
      </c>
    </row>
    <row r="875" spans="1:5" x14ac:dyDescent="0.35">
      <c r="A875" s="51">
        <v>1</v>
      </c>
      <c r="B875" s="35" t="s">
        <v>2336</v>
      </c>
      <c r="C875" s="72" t="s">
        <v>1976</v>
      </c>
      <c r="D875" s="52" t="s">
        <v>150</v>
      </c>
      <c r="E875" s="69">
        <v>44410</v>
      </c>
    </row>
    <row r="876" spans="1:5" x14ac:dyDescent="0.35">
      <c r="A876" s="51">
        <v>1</v>
      </c>
      <c r="B876" s="39" t="s">
        <v>2326</v>
      </c>
      <c r="C876" s="72" t="s">
        <v>1975</v>
      </c>
      <c r="D876" s="52" t="s">
        <v>150</v>
      </c>
      <c r="E876" s="69">
        <v>44410</v>
      </c>
    </row>
    <row r="877" spans="1:5" x14ac:dyDescent="0.35">
      <c r="A877" s="51">
        <v>1</v>
      </c>
      <c r="B877" s="52" t="s">
        <v>2324</v>
      </c>
      <c r="C877" s="72" t="s">
        <v>1970</v>
      </c>
      <c r="D877" s="52" t="s">
        <v>153</v>
      </c>
      <c r="E877" s="69">
        <v>44428</v>
      </c>
    </row>
    <row r="878" spans="1:5" x14ac:dyDescent="0.35">
      <c r="A878" s="51">
        <v>1</v>
      </c>
      <c r="B878" s="52" t="s">
        <v>2328</v>
      </c>
      <c r="C878" s="72" t="s">
        <v>1970</v>
      </c>
      <c r="D878" s="52" t="s">
        <v>153</v>
      </c>
      <c r="E878" s="69">
        <v>44428</v>
      </c>
    </row>
    <row r="879" spans="1:5" x14ac:dyDescent="0.35">
      <c r="A879" s="51">
        <v>1</v>
      </c>
      <c r="B879" s="52" t="s">
        <v>2331</v>
      </c>
      <c r="C879" s="72" t="s">
        <v>1970</v>
      </c>
      <c r="D879" s="52" t="s">
        <v>153</v>
      </c>
      <c r="E879" s="69">
        <v>44428</v>
      </c>
    </row>
    <row r="880" spans="1:5" x14ac:dyDescent="0.35">
      <c r="A880" s="51">
        <v>1</v>
      </c>
      <c r="B880" s="52" t="s">
        <v>2339</v>
      </c>
      <c r="C880" s="72" t="s">
        <v>1970</v>
      </c>
      <c r="D880" s="52" t="s">
        <v>153</v>
      </c>
      <c r="E880" s="69">
        <v>44428</v>
      </c>
    </row>
    <row r="881" spans="1:5" x14ac:dyDescent="0.35">
      <c r="A881" s="51">
        <v>1</v>
      </c>
      <c r="B881" s="52" t="s">
        <v>2285</v>
      </c>
      <c r="C881" s="72" t="s">
        <v>1976</v>
      </c>
      <c r="D881" s="52" t="s">
        <v>153</v>
      </c>
      <c r="E881" s="69">
        <v>44428</v>
      </c>
    </row>
    <row r="882" spans="1:5" x14ac:dyDescent="0.35">
      <c r="A882" s="51">
        <v>1</v>
      </c>
      <c r="B882" s="52" t="s">
        <v>2335</v>
      </c>
      <c r="C882" s="72" t="s">
        <v>1976</v>
      </c>
      <c r="D882" s="52" t="s">
        <v>153</v>
      </c>
      <c r="E882" s="69">
        <v>44428</v>
      </c>
    </row>
    <row r="883" spans="1:5" x14ac:dyDescent="0.35">
      <c r="A883" s="51">
        <v>1</v>
      </c>
      <c r="B883" s="52" t="s">
        <v>2353</v>
      </c>
      <c r="C883" s="72" t="s">
        <v>1968</v>
      </c>
      <c r="D883" s="52" t="s">
        <v>153</v>
      </c>
      <c r="E883" s="69">
        <v>44428</v>
      </c>
    </row>
    <row r="884" spans="1:5" x14ac:dyDescent="0.35">
      <c r="A884" s="51">
        <v>1</v>
      </c>
      <c r="B884" s="52" t="s">
        <v>2354</v>
      </c>
      <c r="C884" s="72" t="s">
        <v>1968</v>
      </c>
      <c r="D884" s="52" t="s">
        <v>153</v>
      </c>
      <c r="E884" s="69">
        <v>44428</v>
      </c>
    </row>
    <row r="885" spans="1:5" x14ac:dyDescent="0.35">
      <c r="A885" s="51">
        <v>1</v>
      </c>
      <c r="B885" s="52" t="s">
        <v>2355</v>
      </c>
      <c r="C885" s="72" t="s">
        <v>1968</v>
      </c>
      <c r="D885" s="52" t="s">
        <v>153</v>
      </c>
      <c r="E885" s="69">
        <v>44428</v>
      </c>
    </row>
    <row r="886" spans="1:5" x14ac:dyDescent="0.35">
      <c r="A886" s="51">
        <v>1</v>
      </c>
      <c r="B886" s="52" t="s">
        <v>2356</v>
      </c>
      <c r="C886" s="72" t="s">
        <v>1968</v>
      </c>
      <c r="D886" s="52" t="s">
        <v>157</v>
      </c>
      <c r="E886" s="69">
        <v>44438</v>
      </c>
    </row>
    <row r="887" spans="1:5" x14ac:dyDescent="0.35">
      <c r="A887" s="51">
        <v>1</v>
      </c>
      <c r="B887" s="52" t="s">
        <v>2357</v>
      </c>
      <c r="C887" s="72" t="s">
        <v>1968</v>
      </c>
      <c r="D887" s="52" t="s">
        <v>157</v>
      </c>
      <c r="E887" s="69">
        <v>44438</v>
      </c>
    </row>
    <row r="888" spans="1:5" x14ac:dyDescent="0.35">
      <c r="A888" s="51">
        <v>1</v>
      </c>
      <c r="B888" s="52" t="s">
        <v>2358</v>
      </c>
      <c r="C888" s="72" t="s">
        <v>1968</v>
      </c>
      <c r="D888" s="52" t="s">
        <v>157</v>
      </c>
      <c r="E888" s="69">
        <v>44438</v>
      </c>
    </row>
    <row r="889" spans="1:5" x14ac:dyDescent="0.35">
      <c r="A889" s="51">
        <v>1</v>
      </c>
      <c r="B889" s="52" t="s">
        <v>2359</v>
      </c>
      <c r="C889" s="72" t="s">
        <v>1968</v>
      </c>
      <c r="D889" s="52" t="s">
        <v>157</v>
      </c>
      <c r="E889" s="69">
        <v>44438</v>
      </c>
    </row>
    <row r="890" spans="1:5" x14ac:dyDescent="0.35">
      <c r="A890" s="51">
        <v>1</v>
      </c>
      <c r="B890" s="52" t="s">
        <v>2360</v>
      </c>
      <c r="C890" s="72" t="s">
        <v>1968</v>
      </c>
      <c r="D890" s="52" t="s">
        <v>157</v>
      </c>
      <c r="E890" s="69">
        <v>44438</v>
      </c>
    </row>
    <row r="891" spans="1:5" x14ac:dyDescent="0.35">
      <c r="A891" s="51">
        <v>1</v>
      </c>
      <c r="B891" s="52" t="s">
        <v>2361</v>
      </c>
      <c r="C891" s="72" t="s">
        <v>1968</v>
      </c>
      <c r="D891" s="52" t="s">
        <v>157</v>
      </c>
      <c r="E891" s="69">
        <v>44438</v>
      </c>
    </row>
    <row r="892" spans="1:5" x14ac:dyDescent="0.35">
      <c r="A892" s="51">
        <v>1</v>
      </c>
      <c r="B892" s="52" t="s">
        <v>2362</v>
      </c>
      <c r="C892" s="72" t="s">
        <v>1968</v>
      </c>
      <c r="D892" s="52" t="s">
        <v>157</v>
      </c>
      <c r="E892" s="69">
        <v>44438</v>
      </c>
    </row>
    <row r="893" spans="1:5" x14ac:dyDescent="0.35">
      <c r="A893" s="51">
        <v>1</v>
      </c>
      <c r="B893" s="52" t="s">
        <v>2353</v>
      </c>
      <c r="C893" s="72" t="s">
        <v>1976</v>
      </c>
      <c r="D893" s="52" t="s">
        <v>157</v>
      </c>
      <c r="E893" s="69">
        <v>44438</v>
      </c>
    </row>
    <row r="894" spans="1:5" x14ac:dyDescent="0.35">
      <c r="A894" s="51">
        <v>1</v>
      </c>
      <c r="B894" s="52" t="s">
        <v>2257</v>
      </c>
      <c r="C894" s="72" t="s">
        <v>1976</v>
      </c>
      <c r="D894" s="52" t="s">
        <v>159</v>
      </c>
      <c r="E894" s="69">
        <v>44452</v>
      </c>
    </row>
    <row r="895" spans="1:5" x14ac:dyDescent="0.35">
      <c r="A895" s="51">
        <v>1</v>
      </c>
      <c r="B895" s="52" t="s">
        <v>2363</v>
      </c>
      <c r="C895" s="72" t="s">
        <v>1968</v>
      </c>
      <c r="D895" s="52" t="s">
        <v>159</v>
      </c>
      <c r="E895" s="69">
        <v>44452</v>
      </c>
    </row>
    <row r="896" spans="1:5" x14ac:dyDescent="0.35">
      <c r="A896" s="51">
        <v>1</v>
      </c>
      <c r="B896" s="52" t="s">
        <v>2364</v>
      </c>
      <c r="C896" s="72" t="s">
        <v>1968</v>
      </c>
      <c r="D896" s="52" t="s">
        <v>159</v>
      </c>
      <c r="E896" s="69">
        <v>44452</v>
      </c>
    </row>
    <row r="897" spans="1:5" hidden="1" x14ac:dyDescent="0.35">
      <c r="A897" s="51">
        <v>1</v>
      </c>
      <c r="B897" s="86" t="s">
        <v>480</v>
      </c>
      <c r="C897" s="72" t="s">
        <v>1969</v>
      </c>
      <c r="D897" s="52" t="s">
        <v>161</v>
      </c>
      <c r="E897" s="69">
        <v>44466</v>
      </c>
    </row>
    <row r="898" spans="1:5" x14ac:dyDescent="0.35">
      <c r="A898" s="51">
        <v>1</v>
      </c>
      <c r="B898" s="35" t="s">
        <v>2365</v>
      </c>
      <c r="C898" s="72" t="s">
        <v>1968</v>
      </c>
      <c r="D898" s="52" t="s">
        <v>161</v>
      </c>
      <c r="E898" s="69">
        <v>44466</v>
      </c>
    </row>
    <row r="899" spans="1:5" x14ac:dyDescent="0.35">
      <c r="A899" s="51">
        <v>1</v>
      </c>
      <c r="B899" s="35" t="s">
        <v>2366</v>
      </c>
      <c r="C899" s="72" t="s">
        <v>1968</v>
      </c>
      <c r="D899" s="52" t="s">
        <v>161</v>
      </c>
      <c r="E899" s="69">
        <v>44466</v>
      </c>
    </row>
    <row r="900" spans="1:5" x14ac:dyDescent="0.35">
      <c r="A900" s="51">
        <v>1</v>
      </c>
      <c r="B900" s="35" t="s">
        <v>2367</v>
      </c>
      <c r="C900" s="72" t="s">
        <v>1968</v>
      </c>
      <c r="D900" s="52" t="s">
        <v>161</v>
      </c>
      <c r="E900" s="69">
        <v>44466</v>
      </c>
    </row>
    <row r="901" spans="1:5" x14ac:dyDescent="0.35">
      <c r="A901" s="51">
        <v>1</v>
      </c>
      <c r="B901" s="35" t="s">
        <v>2368</v>
      </c>
      <c r="C901" s="72" t="s">
        <v>1968</v>
      </c>
      <c r="D901" s="52" t="s">
        <v>161</v>
      </c>
      <c r="E901" s="69">
        <v>44466</v>
      </c>
    </row>
    <row r="902" spans="1:5" x14ac:dyDescent="0.35">
      <c r="A902" s="51">
        <v>1</v>
      </c>
      <c r="B902" s="39" t="s">
        <v>2291</v>
      </c>
      <c r="C902" s="72" t="s">
        <v>1976</v>
      </c>
      <c r="D902" s="52" t="s">
        <v>161</v>
      </c>
      <c r="E902" s="69">
        <v>44466</v>
      </c>
    </row>
    <row r="903" spans="1:5" x14ac:dyDescent="0.35">
      <c r="A903" s="51">
        <v>1</v>
      </c>
      <c r="B903" s="52" t="s">
        <v>2287</v>
      </c>
      <c r="C903" s="72" t="s">
        <v>1976</v>
      </c>
      <c r="D903" s="52" t="s">
        <v>161</v>
      </c>
      <c r="E903" s="69">
        <v>44466</v>
      </c>
    </row>
    <row r="904" spans="1:5" x14ac:dyDescent="0.35">
      <c r="A904" s="51">
        <v>1</v>
      </c>
      <c r="B904" s="52" t="s">
        <v>2329</v>
      </c>
      <c r="C904" s="72" t="s">
        <v>1976</v>
      </c>
      <c r="D904" s="52" t="s">
        <v>161</v>
      </c>
      <c r="E904" s="69">
        <v>44466</v>
      </c>
    </row>
    <row r="905" spans="1:5" x14ac:dyDescent="0.35">
      <c r="A905" s="51">
        <v>1</v>
      </c>
      <c r="B905" s="52" t="s">
        <v>2346</v>
      </c>
      <c r="C905" s="72" t="s">
        <v>1976</v>
      </c>
      <c r="D905" s="52" t="s">
        <v>161</v>
      </c>
      <c r="E905" s="69">
        <v>44466</v>
      </c>
    </row>
    <row r="906" spans="1:5" x14ac:dyDescent="0.35">
      <c r="A906" s="51">
        <v>1</v>
      </c>
      <c r="B906" s="52" t="s">
        <v>2350</v>
      </c>
      <c r="C906" s="72" t="s">
        <v>1975</v>
      </c>
      <c r="D906" s="52" t="s">
        <v>161</v>
      </c>
      <c r="E906" s="69">
        <v>44466</v>
      </c>
    </row>
    <row r="907" spans="1:5" x14ac:dyDescent="0.35">
      <c r="A907" s="51">
        <v>1</v>
      </c>
      <c r="B907" s="35" t="s">
        <v>2253</v>
      </c>
      <c r="C907" s="72" t="s">
        <v>1970</v>
      </c>
      <c r="D907" s="52" t="s">
        <v>164</v>
      </c>
      <c r="E907" s="69">
        <v>44476</v>
      </c>
    </row>
    <row r="908" spans="1:5" x14ac:dyDescent="0.35">
      <c r="A908" s="51">
        <v>1</v>
      </c>
      <c r="B908" s="35" t="s">
        <v>2257</v>
      </c>
      <c r="C908" s="72" t="s">
        <v>1970</v>
      </c>
      <c r="D908" s="52" t="s">
        <v>164</v>
      </c>
      <c r="E908" s="69">
        <v>44476</v>
      </c>
    </row>
    <row r="909" spans="1:5" x14ac:dyDescent="0.35">
      <c r="A909" s="51">
        <v>1</v>
      </c>
      <c r="B909" s="35" t="s">
        <v>2329</v>
      </c>
      <c r="C909" s="72" t="s">
        <v>1970</v>
      </c>
      <c r="D909" s="52" t="s">
        <v>164</v>
      </c>
      <c r="E909" s="69">
        <v>44476</v>
      </c>
    </row>
    <row r="910" spans="1:5" x14ac:dyDescent="0.35">
      <c r="A910" s="51">
        <v>1</v>
      </c>
      <c r="B910" s="35" t="s">
        <v>2335</v>
      </c>
      <c r="C910" s="72" t="s">
        <v>1970</v>
      </c>
      <c r="D910" s="52" t="s">
        <v>164</v>
      </c>
      <c r="E910" s="69">
        <v>44476</v>
      </c>
    </row>
    <row r="911" spans="1:5" x14ac:dyDescent="0.35">
      <c r="A911" s="51">
        <v>1</v>
      </c>
      <c r="B911" s="35" t="s">
        <v>2340</v>
      </c>
      <c r="C911" s="72" t="s">
        <v>1970</v>
      </c>
      <c r="D911" s="52" t="s">
        <v>164</v>
      </c>
      <c r="E911" s="69">
        <v>44476</v>
      </c>
    </row>
    <row r="912" spans="1:5" x14ac:dyDescent="0.35">
      <c r="A912" s="51">
        <v>1</v>
      </c>
      <c r="B912" s="35" t="s">
        <v>2342</v>
      </c>
      <c r="C912" s="72" t="s">
        <v>1970</v>
      </c>
      <c r="D912" s="52" t="s">
        <v>164</v>
      </c>
      <c r="E912" s="69">
        <v>44476</v>
      </c>
    </row>
    <row r="913" spans="1:5" x14ac:dyDescent="0.35">
      <c r="A913" s="51">
        <v>1</v>
      </c>
      <c r="B913" s="35" t="s">
        <v>2344</v>
      </c>
      <c r="C913" s="72" t="s">
        <v>1970</v>
      </c>
      <c r="D913" s="52" t="s">
        <v>164</v>
      </c>
      <c r="E913" s="69">
        <v>44476</v>
      </c>
    </row>
    <row r="914" spans="1:5" x14ac:dyDescent="0.35">
      <c r="A914" s="51">
        <v>1</v>
      </c>
      <c r="B914" s="35" t="s">
        <v>2345</v>
      </c>
      <c r="C914" s="72" t="s">
        <v>1970</v>
      </c>
      <c r="D914" s="52" t="s">
        <v>164</v>
      </c>
      <c r="E914" s="69">
        <v>44476</v>
      </c>
    </row>
    <row r="915" spans="1:5" x14ac:dyDescent="0.35">
      <c r="A915" s="51">
        <v>1</v>
      </c>
      <c r="B915" s="35" t="s">
        <v>2347</v>
      </c>
      <c r="C915" s="72" t="s">
        <v>1970</v>
      </c>
      <c r="D915" s="52" t="s">
        <v>164</v>
      </c>
      <c r="E915" s="69">
        <v>44476</v>
      </c>
    </row>
    <row r="916" spans="1:5" x14ac:dyDescent="0.35">
      <c r="A916" s="51">
        <v>1</v>
      </c>
      <c r="B916" s="35" t="s">
        <v>2353</v>
      </c>
      <c r="C916" s="72" t="s">
        <v>1970</v>
      </c>
      <c r="D916" s="52" t="s">
        <v>164</v>
      </c>
      <c r="E916" s="69">
        <v>44476</v>
      </c>
    </row>
    <row r="917" spans="1:5" x14ac:dyDescent="0.35">
      <c r="A917" s="51">
        <v>1</v>
      </c>
      <c r="B917" s="52" t="s">
        <v>2369</v>
      </c>
      <c r="C917" s="72" t="s">
        <v>1975</v>
      </c>
      <c r="D917" s="52" t="s">
        <v>164</v>
      </c>
      <c r="E917" s="69">
        <v>44476</v>
      </c>
    </row>
    <row r="918" spans="1:5" x14ac:dyDescent="0.35">
      <c r="A918" s="51">
        <v>1</v>
      </c>
      <c r="B918" s="35" t="s">
        <v>2113</v>
      </c>
      <c r="C918" s="72" t="s">
        <v>1976</v>
      </c>
      <c r="D918" s="52" t="s">
        <v>164</v>
      </c>
      <c r="E918" s="69">
        <v>44476</v>
      </c>
    </row>
    <row r="919" spans="1:5" x14ac:dyDescent="0.35">
      <c r="A919" s="51">
        <v>1</v>
      </c>
      <c r="B919" s="35" t="s">
        <v>2323</v>
      </c>
      <c r="C919" s="72" t="s">
        <v>1976</v>
      </c>
      <c r="D919" s="52" t="s">
        <v>164</v>
      </c>
      <c r="E919" s="69">
        <v>44476</v>
      </c>
    </row>
    <row r="920" spans="1:5" x14ac:dyDescent="0.35">
      <c r="A920" s="51">
        <v>1</v>
      </c>
      <c r="B920" s="35" t="s">
        <v>2356</v>
      </c>
      <c r="C920" s="72" t="s">
        <v>1976</v>
      </c>
      <c r="D920" s="52" t="s">
        <v>164</v>
      </c>
      <c r="E920" s="69">
        <v>44476</v>
      </c>
    </row>
    <row r="921" spans="1:5" x14ac:dyDescent="0.35">
      <c r="A921" s="51">
        <v>1</v>
      </c>
      <c r="B921" s="35" t="s">
        <v>2357</v>
      </c>
      <c r="C921" s="72" t="s">
        <v>1976</v>
      </c>
      <c r="D921" s="52" t="s">
        <v>164</v>
      </c>
      <c r="E921" s="69">
        <v>44476</v>
      </c>
    </row>
    <row r="922" spans="1:5" x14ac:dyDescent="0.35">
      <c r="A922" s="51">
        <v>1</v>
      </c>
      <c r="B922" s="35" t="s">
        <v>2358</v>
      </c>
      <c r="C922" s="72" t="s">
        <v>1976</v>
      </c>
      <c r="D922" s="52" t="s">
        <v>164</v>
      </c>
      <c r="E922" s="69">
        <v>44476</v>
      </c>
    </row>
    <row r="923" spans="1:5" x14ac:dyDescent="0.35">
      <c r="A923" s="51">
        <v>1</v>
      </c>
      <c r="B923" s="35" t="s">
        <v>2359</v>
      </c>
      <c r="C923" s="72" t="s">
        <v>1976</v>
      </c>
      <c r="D923" s="52" t="s">
        <v>164</v>
      </c>
      <c r="E923" s="69">
        <v>44476</v>
      </c>
    </row>
    <row r="924" spans="1:5" x14ac:dyDescent="0.35">
      <c r="A924" s="51">
        <v>1</v>
      </c>
      <c r="B924" s="35" t="s">
        <v>2361</v>
      </c>
      <c r="C924" s="72" t="s">
        <v>1976</v>
      </c>
      <c r="D924" s="52" t="s">
        <v>164</v>
      </c>
      <c r="E924" s="69">
        <v>44476</v>
      </c>
    </row>
    <row r="925" spans="1:5" x14ac:dyDescent="0.35">
      <c r="A925" s="51">
        <v>1</v>
      </c>
      <c r="B925" s="35" t="s">
        <v>2362</v>
      </c>
      <c r="C925" s="72" t="s">
        <v>1976</v>
      </c>
      <c r="D925" s="52" t="s">
        <v>164</v>
      </c>
      <c r="E925" s="69">
        <v>44476</v>
      </c>
    </row>
    <row r="926" spans="1:5" x14ac:dyDescent="0.35">
      <c r="A926" s="51">
        <v>1</v>
      </c>
      <c r="B926" s="35" t="s">
        <v>2364</v>
      </c>
      <c r="C926" s="72" t="s">
        <v>1976</v>
      </c>
      <c r="D926" s="52" t="s">
        <v>164</v>
      </c>
      <c r="E926" s="69">
        <v>44476</v>
      </c>
    </row>
    <row r="927" spans="1:5" hidden="1" x14ac:dyDescent="0.35">
      <c r="A927" s="51">
        <v>1</v>
      </c>
      <c r="B927" s="35" t="s">
        <v>1937</v>
      </c>
      <c r="C927" s="72" t="s">
        <v>1969</v>
      </c>
      <c r="D927" s="52" t="s">
        <v>164</v>
      </c>
      <c r="E927" s="69">
        <v>44476</v>
      </c>
    </row>
    <row r="928" spans="1:5" x14ac:dyDescent="0.35">
      <c r="A928" s="51">
        <v>1</v>
      </c>
      <c r="B928" s="35" t="s">
        <v>2370</v>
      </c>
      <c r="C928" s="72" t="s">
        <v>1968</v>
      </c>
      <c r="D928" s="52" t="s">
        <v>164</v>
      </c>
      <c r="E928" s="69">
        <v>44476</v>
      </c>
    </row>
    <row r="929" spans="1:5" x14ac:dyDescent="0.35">
      <c r="A929" s="51">
        <v>1</v>
      </c>
      <c r="B929" s="35" t="s">
        <v>2371</v>
      </c>
      <c r="C929" s="72" t="s">
        <v>1968</v>
      </c>
      <c r="D929" s="52" t="s">
        <v>164</v>
      </c>
      <c r="E929" s="69">
        <v>44476</v>
      </c>
    </row>
    <row r="930" spans="1:5" x14ac:dyDescent="0.35">
      <c r="A930" s="51">
        <v>1</v>
      </c>
      <c r="B930" s="35" t="s">
        <v>2372</v>
      </c>
      <c r="C930" s="72" t="s">
        <v>1968</v>
      </c>
      <c r="D930" s="52" t="s">
        <v>164</v>
      </c>
      <c r="E930" s="69">
        <v>44476</v>
      </c>
    </row>
    <row r="931" spans="1:5" x14ac:dyDescent="0.35">
      <c r="A931" s="51">
        <v>1</v>
      </c>
      <c r="B931" s="35" t="s">
        <v>2373</v>
      </c>
      <c r="C931" s="72" t="s">
        <v>1968</v>
      </c>
      <c r="D931" s="52" t="s">
        <v>164</v>
      </c>
      <c r="E931" s="69">
        <v>44476</v>
      </c>
    </row>
    <row r="932" spans="1:5" x14ac:dyDescent="0.35">
      <c r="A932" s="51">
        <v>1</v>
      </c>
      <c r="B932" s="35" t="s">
        <v>2374</v>
      </c>
      <c r="C932" s="72" t="s">
        <v>1968</v>
      </c>
      <c r="D932" s="52" t="s">
        <v>164</v>
      </c>
      <c r="E932" s="69">
        <v>44476</v>
      </c>
    </row>
    <row r="933" spans="1:5" x14ac:dyDescent="0.35">
      <c r="A933" s="51">
        <v>1</v>
      </c>
      <c r="B933" s="35" t="s">
        <v>2375</v>
      </c>
      <c r="C933" s="72" t="s">
        <v>1968</v>
      </c>
      <c r="D933" s="52" t="s">
        <v>164</v>
      </c>
      <c r="E933" s="69">
        <v>44476</v>
      </c>
    </row>
    <row r="934" spans="1:5" x14ac:dyDescent="0.35">
      <c r="A934" s="51">
        <v>1</v>
      </c>
      <c r="B934" s="35" t="s">
        <v>2376</v>
      </c>
      <c r="C934" s="72" t="s">
        <v>1968</v>
      </c>
      <c r="D934" s="52" t="s">
        <v>164</v>
      </c>
      <c r="E934" s="69">
        <v>44476</v>
      </c>
    </row>
    <row r="935" spans="1:5" x14ac:dyDescent="0.35">
      <c r="A935" s="51">
        <v>1</v>
      </c>
      <c r="B935" s="52" t="s">
        <v>2113</v>
      </c>
      <c r="C935" s="72" t="s">
        <v>1975</v>
      </c>
      <c r="D935" s="52" t="s">
        <v>164</v>
      </c>
      <c r="E935" s="69">
        <v>44476</v>
      </c>
    </row>
    <row r="936" spans="1:5" hidden="1" x14ac:dyDescent="0.35">
      <c r="A936" s="51">
        <v>1</v>
      </c>
      <c r="B936" s="52" t="s">
        <v>2291</v>
      </c>
      <c r="C936" s="72" t="s">
        <v>1972</v>
      </c>
      <c r="D936" s="52" t="s">
        <v>164</v>
      </c>
      <c r="E936" s="69">
        <v>44476</v>
      </c>
    </row>
    <row r="937" spans="1:5" x14ac:dyDescent="0.35">
      <c r="A937" s="51">
        <v>1</v>
      </c>
      <c r="B937" s="52" t="s">
        <v>2377</v>
      </c>
      <c r="C937" s="72" t="s">
        <v>1968</v>
      </c>
      <c r="D937" s="52" t="s">
        <v>169</v>
      </c>
      <c r="E937" s="69">
        <v>44487</v>
      </c>
    </row>
    <row r="938" spans="1:5" x14ac:dyDescent="0.35">
      <c r="A938" s="51">
        <v>1</v>
      </c>
      <c r="B938" s="52" t="s">
        <v>2378</v>
      </c>
      <c r="C938" s="72" t="s">
        <v>1968</v>
      </c>
      <c r="D938" s="52" t="s">
        <v>169</v>
      </c>
      <c r="E938" s="69">
        <v>44487</v>
      </c>
    </row>
    <row r="939" spans="1:5" x14ac:dyDescent="0.35">
      <c r="A939" s="51">
        <v>1</v>
      </c>
      <c r="B939" s="52" t="s">
        <v>2379</v>
      </c>
      <c r="C939" s="72" t="s">
        <v>1968</v>
      </c>
      <c r="D939" s="52" t="s">
        <v>171</v>
      </c>
      <c r="E939" s="69">
        <v>44501</v>
      </c>
    </row>
    <row r="940" spans="1:5" x14ac:dyDescent="0.35">
      <c r="A940" s="51">
        <v>1</v>
      </c>
      <c r="B940" s="52" t="s">
        <v>2354</v>
      </c>
      <c r="C940" s="72" t="s">
        <v>1976</v>
      </c>
      <c r="D940" s="52" t="s">
        <v>171</v>
      </c>
      <c r="E940" s="69">
        <v>44501</v>
      </c>
    </row>
    <row r="941" spans="1:5" x14ac:dyDescent="0.35">
      <c r="A941" s="51">
        <v>1</v>
      </c>
      <c r="B941" s="52" t="s">
        <v>2359</v>
      </c>
      <c r="C941" s="72" t="s">
        <v>1976</v>
      </c>
      <c r="D941" s="52" t="s">
        <v>171</v>
      </c>
      <c r="E941" s="69">
        <v>44501</v>
      </c>
    </row>
    <row r="942" spans="1:5" x14ac:dyDescent="0.35">
      <c r="A942" s="51">
        <v>1</v>
      </c>
      <c r="B942" s="52" t="s">
        <v>2355</v>
      </c>
      <c r="C942" s="72" t="s">
        <v>1976</v>
      </c>
      <c r="D942" s="52" t="s">
        <v>171</v>
      </c>
      <c r="E942" s="69">
        <v>44501</v>
      </c>
    </row>
    <row r="943" spans="1:5" x14ac:dyDescent="0.35">
      <c r="A943" s="51">
        <v>1</v>
      </c>
      <c r="B943" s="52" t="s">
        <v>2355</v>
      </c>
      <c r="C943" s="72" t="s">
        <v>1970</v>
      </c>
      <c r="D943" s="52" t="s">
        <v>173</v>
      </c>
      <c r="E943" s="69">
        <v>44517</v>
      </c>
    </row>
    <row r="944" spans="1:5" x14ac:dyDescent="0.35">
      <c r="A944" s="51">
        <v>1</v>
      </c>
      <c r="B944" s="35" t="s">
        <v>2323</v>
      </c>
      <c r="C944" s="72" t="s">
        <v>1976</v>
      </c>
      <c r="D944" s="52" t="s">
        <v>173</v>
      </c>
      <c r="E944" s="69">
        <v>44517</v>
      </c>
    </row>
    <row r="945" spans="1:5" x14ac:dyDescent="0.35">
      <c r="A945" s="51">
        <v>1</v>
      </c>
      <c r="B945" s="35" t="s">
        <v>2354</v>
      </c>
      <c r="C945" s="72" t="s">
        <v>1976</v>
      </c>
      <c r="D945" s="52" t="s">
        <v>173</v>
      </c>
      <c r="E945" s="69">
        <v>44517</v>
      </c>
    </row>
    <row r="946" spans="1:5" x14ac:dyDescent="0.35">
      <c r="A946" s="51">
        <v>1</v>
      </c>
      <c r="B946" s="35" t="s">
        <v>2356</v>
      </c>
      <c r="C946" s="72" t="s">
        <v>1976</v>
      </c>
      <c r="D946" s="52" t="s">
        <v>173</v>
      </c>
      <c r="E946" s="69">
        <v>44517</v>
      </c>
    </row>
    <row r="947" spans="1:5" x14ac:dyDescent="0.35">
      <c r="A947" s="51">
        <v>1</v>
      </c>
      <c r="B947" s="35" t="s">
        <v>2357</v>
      </c>
      <c r="C947" s="72" t="s">
        <v>1976</v>
      </c>
      <c r="D947" s="52" t="s">
        <v>173</v>
      </c>
      <c r="E947" s="69">
        <v>44517</v>
      </c>
    </row>
    <row r="948" spans="1:5" x14ac:dyDescent="0.35">
      <c r="A948" s="51">
        <v>1</v>
      </c>
      <c r="B948" s="35" t="s">
        <v>2359</v>
      </c>
      <c r="C948" s="72" t="s">
        <v>1976</v>
      </c>
      <c r="D948" s="52" t="s">
        <v>173</v>
      </c>
      <c r="E948" s="69">
        <v>44517</v>
      </c>
    </row>
    <row r="949" spans="1:5" x14ac:dyDescent="0.35">
      <c r="A949" s="51">
        <v>1</v>
      </c>
      <c r="B949" s="35" t="s">
        <v>2361</v>
      </c>
      <c r="C949" s="72" t="s">
        <v>1976</v>
      </c>
      <c r="D949" s="52" t="s">
        <v>173</v>
      </c>
      <c r="E949" s="69">
        <v>44517</v>
      </c>
    </row>
    <row r="950" spans="1:5" x14ac:dyDescent="0.35">
      <c r="A950" s="51">
        <v>1</v>
      </c>
      <c r="B950" s="35" t="s">
        <v>2362</v>
      </c>
      <c r="C950" s="72" t="s">
        <v>1976</v>
      </c>
      <c r="D950" s="52" t="s">
        <v>173</v>
      </c>
      <c r="E950" s="69">
        <v>44517</v>
      </c>
    </row>
    <row r="951" spans="1:5" x14ac:dyDescent="0.35">
      <c r="A951" s="51">
        <v>1</v>
      </c>
      <c r="B951" s="35" t="s">
        <v>2376</v>
      </c>
      <c r="C951" s="72" t="s">
        <v>1976</v>
      </c>
      <c r="D951" s="52" t="s">
        <v>173</v>
      </c>
      <c r="E951" s="69">
        <v>44517</v>
      </c>
    </row>
    <row r="952" spans="1:5" x14ac:dyDescent="0.35">
      <c r="A952" s="51">
        <v>1</v>
      </c>
      <c r="B952" s="35" t="s">
        <v>2364</v>
      </c>
      <c r="C952" s="72" t="s">
        <v>1976</v>
      </c>
      <c r="D952" s="52" t="s">
        <v>173</v>
      </c>
      <c r="E952" s="69">
        <v>44517</v>
      </c>
    </row>
    <row r="953" spans="1:5" x14ac:dyDescent="0.35">
      <c r="A953" s="51">
        <v>1</v>
      </c>
      <c r="B953" s="52" t="s">
        <v>2380</v>
      </c>
      <c r="C953" s="72" t="s">
        <v>1968</v>
      </c>
      <c r="D953" s="52" t="s">
        <v>2381</v>
      </c>
      <c r="E953" s="69">
        <v>44531</v>
      </c>
    </row>
    <row r="954" spans="1:5" x14ac:dyDescent="0.35">
      <c r="A954" s="47">
        <v>1</v>
      </c>
      <c r="B954" s="48" t="s">
        <v>2112</v>
      </c>
      <c r="C954" s="48" t="s">
        <v>1974</v>
      </c>
      <c r="D954" s="52" t="s">
        <v>175</v>
      </c>
      <c r="E954" s="69">
        <v>44529</v>
      </c>
    </row>
    <row r="955" spans="1:5" x14ac:dyDescent="0.35">
      <c r="A955" s="51">
        <v>1</v>
      </c>
      <c r="B955" s="52" t="s">
        <v>2287</v>
      </c>
      <c r="C955" s="72" t="s">
        <v>1976</v>
      </c>
      <c r="D955" s="52" t="s">
        <v>175</v>
      </c>
      <c r="E955" s="69">
        <v>44529</v>
      </c>
    </row>
    <row r="956" spans="1:5" x14ac:dyDescent="0.35">
      <c r="A956" s="51">
        <v>1</v>
      </c>
      <c r="B956" s="52" t="s">
        <v>2333</v>
      </c>
      <c r="C956" s="72" t="s">
        <v>1976</v>
      </c>
      <c r="D956" s="52" t="s">
        <v>175</v>
      </c>
      <c r="E956" s="69">
        <v>44529</v>
      </c>
    </row>
    <row r="957" spans="1:5" x14ac:dyDescent="0.35">
      <c r="A957" s="51">
        <v>1</v>
      </c>
      <c r="B957" t="s">
        <v>441</v>
      </c>
      <c r="C957" s="72" t="s">
        <v>1976</v>
      </c>
      <c r="D957" s="52" t="s">
        <v>175</v>
      </c>
      <c r="E957" s="69">
        <v>44529</v>
      </c>
    </row>
    <row r="958" spans="1:5" x14ac:dyDescent="0.35">
      <c r="A958" s="51">
        <v>1</v>
      </c>
      <c r="B958" t="s">
        <v>2382</v>
      </c>
      <c r="C958" s="72" t="s">
        <v>1976</v>
      </c>
      <c r="D958" s="52" t="s">
        <v>175</v>
      </c>
      <c r="E958" s="69">
        <v>44529</v>
      </c>
    </row>
    <row r="959" spans="1:5" x14ac:dyDescent="0.35">
      <c r="A959" s="51">
        <v>1</v>
      </c>
      <c r="B959" t="s">
        <v>2383</v>
      </c>
      <c r="C959" s="72" t="s">
        <v>1976</v>
      </c>
      <c r="D959" s="52" t="s">
        <v>175</v>
      </c>
      <c r="E959" s="69">
        <v>44529</v>
      </c>
    </row>
    <row r="960" spans="1:5" x14ac:dyDescent="0.35">
      <c r="A960" s="51">
        <v>1</v>
      </c>
      <c r="B960" t="s">
        <v>2384</v>
      </c>
      <c r="C960" s="72" t="s">
        <v>1976</v>
      </c>
      <c r="D960" s="52" t="s">
        <v>175</v>
      </c>
      <c r="E960" s="69">
        <v>44529</v>
      </c>
    </row>
    <row r="961" spans="1:5" x14ac:dyDescent="0.35">
      <c r="A961" s="51">
        <v>1</v>
      </c>
      <c r="B961" t="s">
        <v>2385</v>
      </c>
      <c r="C961" s="72" t="s">
        <v>1976</v>
      </c>
      <c r="D961" s="52" t="s">
        <v>175</v>
      </c>
      <c r="E961" s="69">
        <v>44529</v>
      </c>
    </row>
    <row r="962" spans="1:5" x14ac:dyDescent="0.35">
      <c r="A962" s="51">
        <v>1</v>
      </c>
      <c r="B962" t="s">
        <v>2386</v>
      </c>
      <c r="C962" s="72" t="s">
        <v>1976</v>
      </c>
      <c r="D962" s="52" t="s">
        <v>175</v>
      </c>
      <c r="E962" s="69">
        <v>44529</v>
      </c>
    </row>
    <row r="963" spans="1:5" x14ac:dyDescent="0.35">
      <c r="A963" s="51">
        <v>1</v>
      </c>
      <c r="B963" s="52" t="s">
        <v>2380</v>
      </c>
      <c r="C963" s="72" t="s">
        <v>1968</v>
      </c>
      <c r="D963" s="52" t="s">
        <v>175</v>
      </c>
      <c r="E963" s="69">
        <v>44529</v>
      </c>
    </row>
    <row r="964" spans="1:5" x14ac:dyDescent="0.35">
      <c r="A964" s="51">
        <v>1</v>
      </c>
      <c r="B964" s="52" t="s">
        <v>2387</v>
      </c>
      <c r="C964" s="72" t="s">
        <v>1968</v>
      </c>
      <c r="D964" s="52" t="s">
        <v>177</v>
      </c>
      <c r="E964" s="69">
        <v>44543</v>
      </c>
    </row>
    <row r="965" spans="1:5" x14ac:dyDescent="0.35">
      <c r="A965" s="51">
        <v>1</v>
      </c>
      <c r="B965" s="52" t="s">
        <v>2388</v>
      </c>
      <c r="C965" s="72" t="s">
        <v>1968</v>
      </c>
      <c r="D965" s="52" t="s">
        <v>177</v>
      </c>
      <c r="E965" s="69">
        <v>44543</v>
      </c>
    </row>
    <row r="966" spans="1:5" x14ac:dyDescent="0.35">
      <c r="A966" s="51">
        <v>1</v>
      </c>
      <c r="B966" s="52" t="s">
        <v>2389</v>
      </c>
      <c r="C966" s="72" t="s">
        <v>1968</v>
      </c>
      <c r="D966" s="52" t="s">
        <v>177</v>
      </c>
      <c r="E966" s="69">
        <v>44543</v>
      </c>
    </row>
    <row r="967" spans="1:5" x14ac:dyDescent="0.35">
      <c r="A967" s="51">
        <v>1</v>
      </c>
      <c r="B967" s="35" t="s">
        <v>2390</v>
      </c>
      <c r="C967" s="72" t="s">
        <v>1976</v>
      </c>
      <c r="D967" s="52" t="s">
        <v>177</v>
      </c>
      <c r="E967" s="69">
        <v>44543</v>
      </c>
    </row>
    <row r="968" spans="1:5" x14ac:dyDescent="0.35">
      <c r="A968" s="51">
        <v>1</v>
      </c>
      <c r="B968" s="35" t="s">
        <v>2178</v>
      </c>
      <c r="C968" s="72" t="s">
        <v>1976</v>
      </c>
      <c r="D968" s="52" t="s">
        <v>177</v>
      </c>
      <c r="E968" s="69">
        <v>44543</v>
      </c>
    </row>
    <row r="969" spans="1:5" x14ac:dyDescent="0.35">
      <c r="A969" s="51">
        <v>1</v>
      </c>
      <c r="B969" s="35" t="s">
        <v>2035</v>
      </c>
      <c r="C969" s="72" t="s">
        <v>1976</v>
      </c>
      <c r="D969" s="52" t="s">
        <v>177</v>
      </c>
      <c r="E969" s="69">
        <v>44543</v>
      </c>
    </row>
    <row r="970" spans="1:5" x14ac:dyDescent="0.35">
      <c r="A970" s="51">
        <v>1</v>
      </c>
      <c r="B970" s="35" t="s">
        <v>2194</v>
      </c>
      <c r="C970" s="72" t="s">
        <v>1976</v>
      </c>
      <c r="D970" s="52" t="s">
        <v>177</v>
      </c>
      <c r="E970" s="69">
        <v>44543</v>
      </c>
    </row>
    <row r="971" spans="1:5" x14ac:dyDescent="0.35">
      <c r="A971" s="51">
        <v>1</v>
      </c>
      <c r="B971" s="35" t="s">
        <v>2251</v>
      </c>
      <c r="C971" s="72" t="s">
        <v>1976</v>
      </c>
      <c r="D971" s="52" t="s">
        <v>177</v>
      </c>
      <c r="E971" s="69">
        <v>44543</v>
      </c>
    </row>
    <row r="972" spans="1:5" x14ac:dyDescent="0.35">
      <c r="A972" s="51">
        <v>1</v>
      </c>
      <c r="B972" s="35" t="s">
        <v>2356</v>
      </c>
      <c r="C972" s="72" t="s">
        <v>1976</v>
      </c>
      <c r="D972" s="52" t="s">
        <v>177</v>
      </c>
      <c r="E972" s="69">
        <v>44543</v>
      </c>
    </row>
    <row r="973" spans="1:5" x14ac:dyDescent="0.35">
      <c r="A973" s="51">
        <v>1</v>
      </c>
      <c r="B973" s="35" t="s">
        <v>2358</v>
      </c>
      <c r="C973" s="72" t="s">
        <v>1976</v>
      </c>
      <c r="D973" s="52" t="s">
        <v>177</v>
      </c>
      <c r="E973" s="69">
        <v>44543</v>
      </c>
    </row>
    <row r="974" spans="1:5" x14ac:dyDescent="0.35">
      <c r="A974" s="51">
        <v>1</v>
      </c>
      <c r="B974" s="35" t="s">
        <v>2359</v>
      </c>
      <c r="C974" s="72" t="s">
        <v>1976</v>
      </c>
      <c r="D974" s="52" t="s">
        <v>177</v>
      </c>
      <c r="E974" s="69">
        <v>44543</v>
      </c>
    </row>
    <row r="975" spans="1:5" x14ac:dyDescent="0.35">
      <c r="A975" s="51">
        <v>1</v>
      </c>
      <c r="B975" s="35" t="s">
        <v>2377</v>
      </c>
      <c r="C975" s="72" t="s">
        <v>1976</v>
      </c>
      <c r="D975" s="52" t="s">
        <v>177</v>
      </c>
      <c r="E975" s="69">
        <v>44543</v>
      </c>
    </row>
    <row r="976" spans="1:5" x14ac:dyDescent="0.35">
      <c r="A976" s="51">
        <v>1</v>
      </c>
      <c r="B976" s="35" t="s">
        <v>2287</v>
      </c>
      <c r="C976" s="72" t="s">
        <v>1970</v>
      </c>
      <c r="D976" s="52" t="s">
        <v>180</v>
      </c>
      <c r="E976" s="69">
        <v>44581</v>
      </c>
    </row>
    <row r="977" spans="1:5" x14ac:dyDescent="0.35">
      <c r="A977" s="51">
        <v>1</v>
      </c>
      <c r="B977" s="35" t="s">
        <v>2333</v>
      </c>
      <c r="C977" s="72" t="s">
        <v>1970</v>
      </c>
      <c r="D977" s="52" t="s">
        <v>180</v>
      </c>
      <c r="E977" s="69">
        <v>44581</v>
      </c>
    </row>
    <row r="978" spans="1:5" x14ac:dyDescent="0.35">
      <c r="A978" s="51">
        <v>1</v>
      </c>
      <c r="B978" s="35" t="s">
        <v>2354</v>
      </c>
      <c r="C978" s="72" t="s">
        <v>1970</v>
      </c>
      <c r="D978" s="52" t="s">
        <v>180</v>
      </c>
      <c r="E978" s="69">
        <v>44581</v>
      </c>
    </row>
    <row r="979" spans="1:5" x14ac:dyDescent="0.35">
      <c r="A979" s="51">
        <v>1</v>
      </c>
      <c r="B979" s="35" t="s">
        <v>2357</v>
      </c>
      <c r="C979" s="72" t="s">
        <v>1970</v>
      </c>
      <c r="D979" s="52" t="s">
        <v>180</v>
      </c>
      <c r="E979" s="69">
        <v>44581</v>
      </c>
    </row>
    <row r="980" spans="1:5" x14ac:dyDescent="0.35">
      <c r="A980" s="51">
        <v>1</v>
      </c>
      <c r="B980" s="35" t="s">
        <v>2361</v>
      </c>
      <c r="C980" s="72" t="s">
        <v>1970</v>
      </c>
      <c r="D980" s="52" t="s">
        <v>180</v>
      </c>
      <c r="E980" s="69">
        <v>44581</v>
      </c>
    </row>
    <row r="981" spans="1:5" x14ac:dyDescent="0.35">
      <c r="A981" s="51">
        <v>1</v>
      </c>
      <c r="B981" s="35" t="s">
        <v>2367</v>
      </c>
      <c r="C981" s="72" t="s">
        <v>1970</v>
      </c>
      <c r="D981" s="52" t="s">
        <v>180</v>
      </c>
      <c r="E981" s="69">
        <v>44581</v>
      </c>
    </row>
    <row r="982" spans="1:5" x14ac:dyDescent="0.35">
      <c r="A982" s="51">
        <v>1</v>
      </c>
      <c r="B982" s="35" t="s">
        <v>2376</v>
      </c>
      <c r="C982" s="72" t="s">
        <v>1970</v>
      </c>
      <c r="D982" s="52" t="s">
        <v>180</v>
      </c>
      <c r="E982" s="69">
        <v>44581</v>
      </c>
    </row>
    <row r="983" spans="1:5" x14ac:dyDescent="0.35">
      <c r="A983" s="51">
        <v>1</v>
      </c>
      <c r="B983" s="35" t="s">
        <v>2377</v>
      </c>
      <c r="C983" s="72" t="s">
        <v>1970</v>
      </c>
      <c r="D983" s="52" t="s">
        <v>180</v>
      </c>
      <c r="E983" s="69">
        <v>44581</v>
      </c>
    </row>
    <row r="984" spans="1:5" x14ac:dyDescent="0.35">
      <c r="A984" s="51">
        <v>1</v>
      </c>
      <c r="B984" s="39" t="s">
        <v>2391</v>
      </c>
      <c r="C984" s="72" t="s">
        <v>1968</v>
      </c>
      <c r="D984" s="52" t="s">
        <v>180</v>
      </c>
      <c r="E984" s="69">
        <v>44581</v>
      </c>
    </row>
    <row r="985" spans="1:5" x14ac:dyDescent="0.35">
      <c r="A985" s="51">
        <v>1</v>
      </c>
      <c r="B985" s="35" t="s">
        <v>2224</v>
      </c>
      <c r="C985" s="72" t="s">
        <v>1976</v>
      </c>
      <c r="D985" s="52" t="s">
        <v>180</v>
      </c>
      <c r="E985" s="69">
        <v>44581</v>
      </c>
    </row>
    <row r="986" spans="1:5" x14ac:dyDescent="0.35">
      <c r="A986" s="51">
        <v>1</v>
      </c>
      <c r="B986" s="35" t="s">
        <v>2323</v>
      </c>
      <c r="C986" s="72" t="s">
        <v>1976</v>
      </c>
      <c r="D986" s="52" t="s">
        <v>180</v>
      </c>
      <c r="E986" s="69">
        <v>44581</v>
      </c>
    </row>
    <row r="987" spans="1:5" x14ac:dyDescent="0.35">
      <c r="A987" s="51">
        <v>1</v>
      </c>
      <c r="B987" s="35" t="s">
        <v>2356</v>
      </c>
      <c r="C987" s="72" t="s">
        <v>1976</v>
      </c>
      <c r="D987" s="52" t="s">
        <v>180</v>
      </c>
      <c r="E987" s="69">
        <v>44581</v>
      </c>
    </row>
    <row r="988" spans="1:5" x14ac:dyDescent="0.35">
      <c r="A988" s="51">
        <v>1</v>
      </c>
      <c r="B988" s="35" t="s">
        <v>2358</v>
      </c>
      <c r="C988" s="72" t="s">
        <v>1976</v>
      </c>
      <c r="D988" s="52" t="s">
        <v>180</v>
      </c>
      <c r="E988" s="69">
        <v>44581</v>
      </c>
    </row>
    <row r="989" spans="1:5" x14ac:dyDescent="0.35">
      <c r="A989" s="51">
        <v>1</v>
      </c>
      <c r="B989" s="35" t="s">
        <v>2359</v>
      </c>
      <c r="C989" s="72" t="s">
        <v>1976</v>
      </c>
      <c r="D989" s="52" t="s">
        <v>180</v>
      </c>
      <c r="E989" s="69">
        <v>44581</v>
      </c>
    </row>
    <row r="990" spans="1:5" x14ac:dyDescent="0.35">
      <c r="A990" s="51">
        <v>1</v>
      </c>
      <c r="B990" s="35" t="s">
        <v>2360</v>
      </c>
      <c r="C990" s="72" t="s">
        <v>1976</v>
      </c>
      <c r="D990" s="52" t="s">
        <v>180</v>
      </c>
      <c r="E990" s="69">
        <v>44581</v>
      </c>
    </row>
    <row r="991" spans="1:5" x14ac:dyDescent="0.35">
      <c r="A991" s="51">
        <v>1</v>
      </c>
      <c r="B991" s="35" t="s">
        <v>2362</v>
      </c>
      <c r="C991" s="72" t="s">
        <v>1976</v>
      </c>
      <c r="D991" s="52" t="s">
        <v>180</v>
      </c>
      <c r="E991" s="69">
        <v>44581</v>
      </c>
    </row>
    <row r="992" spans="1:5" x14ac:dyDescent="0.35">
      <c r="A992" s="51">
        <v>1</v>
      </c>
      <c r="B992" s="35" t="s">
        <v>2364</v>
      </c>
      <c r="C992" s="72" t="s">
        <v>1976</v>
      </c>
      <c r="D992" s="52" t="s">
        <v>180</v>
      </c>
      <c r="E992" s="69">
        <v>44581</v>
      </c>
    </row>
    <row r="993" spans="1:5" x14ac:dyDescent="0.35">
      <c r="A993" s="51">
        <v>1</v>
      </c>
      <c r="B993" s="35" t="s">
        <v>2372</v>
      </c>
      <c r="C993" s="72" t="s">
        <v>1976</v>
      </c>
      <c r="D993" s="52" t="s">
        <v>180</v>
      </c>
      <c r="E993" s="69">
        <v>44581</v>
      </c>
    </row>
    <row r="994" spans="1:5" x14ac:dyDescent="0.35">
      <c r="A994" s="51">
        <v>1</v>
      </c>
      <c r="B994" s="35" t="s">
        <v>2379</v>
      </c>
      <c r="C994" s="72" t="s">
        <v>1976</v>
      </c>
      <c r="D994" s="52" t="s">
        <v>180</v>
      </c>
      <c r="E994" s="69">
        <v>44581</v>
      </c>
    </row>
    <row r="995" spans="1:5" x14ac:dyDescent="0.35">
      <c r="A995" s="51">
        <v>1</v>
      </c>
      <c r="B995" s="35" t="s">
        <v>2380</v>
      </c>
      <c r="C995" s="72" t="s">
        <v>1976</v>
      </c>
      <c r="D995" s="52" t="s">
        <v>180</v>
      </c>
      <c r="E995" s="69">
        <v>44581</v>
      </c>
    </row>
    <row r="996" spans="1:5" x14ac:dyDescent="0.35">
      <c r="A996" s="51">
        <v>1</v>
      </c>
      <c r="B996" s="92" t="s">
        <v>2351</v>
      </c>
      <c r="C996" s="72" t="s">
        <v>1976</v>
      </c>
      <c r="D996" s="52" t="s">
        <v>184</v>
      </c>
      <c r="E996" s="69">
        <v>44602</v>
      </c>
    </row>
    <row r="997" spans="1:5" x14ac:dyDescent="0.35">
      <c r="A997" s="51">
        <v>1</v>
      </c>
      <c r="B997" s="35" t="s">
        <v>2178</v>
      </c>
      <c r="C997" s="72" t="s">
        <v>1976</v>
      </c>
      <c r="D997" s="52" t="s">
        <v>184</v>
      </c>
      <c r="E997" s="69">
        <v>44602</v>
      </c>
    </row>
    <row r="998" spans="1:5" x14ac:dyDescent="0.35">
      <c r="A998" s="51">
        <v>1</v>
      </c>
      <c r="B998" s="35" t="s">
        <v>2352</v>
      </c>
      <c r="C998" s="72" t="s">
        <v>1976</v>
      </c>
      <c r="D998" s="52" t="s">
        <v>184</v>
      </c>
      <c r="E998" s="69">
        <v>44602</v>
      </c>
    </row>
    <row r="999" spans="1:5" x14ac:dyDescent="0.35">
      <c r="A999" s="51">
        <v>1</v>
      </c>
      <c r="B999" s="35" t="s">
        <v>2100</v>
      </c>
      <c r="C999" s="72" t="s">
        <v>1976</v>
      </c>
      <c r="D999" s="52" t="s">
        <v>184</v>
      </c>
      <c r="E999" s="69">
        <v>44602</v>
      </c>
    </row>
    <row r="1000" spans="1:5" x14ac:dyDescent="0.35">
      <c r="A1000" s="51">
        <v>1</v>
      </c>
      <c r="B1000" s="35" t="s">
        <v>2105</v>
      </c>
      <c r="C1000" s="72" t="s">
        <v>1976</v>
      </c>
      <c r="D1000" s="52" t="s">
        <v>184</v>
      </c>
      <c r="E1000" s="69">
        <v>44602</v>
      </c>
    </row>
    <row r="1001" spans="1:5" x14ac:dyDescent="0.35">
      <c r="A1001" s="51">
        <v>1</v>
      </c>
      <c r="B1001" s="35" t="s">
        <v>2117</v>
      </c>
      <c r="C1001" s="72" t="s">
        <v>1976</v>
      </c>
      <c r="D1001" s="52" t="s">
        <v>184</v>
      </c>
      <c r="E1001" s="69">
        <v>44602</v>
      </c>
    </row>
    <row r="1002" spans="1:5" x14ac:dyDescent="0.35">
      <c r="A1002" s="51">
        <v>1</v>
      </c>
      <c r="B1002" s="35" t="s">
        <v>2158</v>
      </c>
      <c r="C1002" s="72" t="s">
        <v>1976</v>
      </c>
      <c r="D1002" s="52" t="s">
        <v>184</v>
      </c>
      <c r="E1002" s="69">
        <v>44602</v>
      </c>
    </row>
    <row r="1003" spans="1:5" x14ac:dyDescent="0.35">
      <c r="A1003" s="51">
        <v>1</v>
      </c>
      <c r="B1003" s="35" t="s">
        <v>2162</v>
      </c>
      <c r="C1003" s="72" t="s">
        <v>1976</v>
      </c>
      <c r="D1003" s="52" t="s">
        <v>184</v>
      </c>
      <c r="E1003" s="69">
        <v>44602</v>
      </c>
    </row>
    <row r="1004" spans="1:5" x14ac:dyDescent="0.35">
      <c r="A1004" s="51">
        <v>1</v>
      </c>
      <c r="B1004" s="35" t="s">
        <v>2173</v>
      </c>
      <c r="C1004" s="72" t="s">
        <v>1976</v>
      </c>
      <c r="D1004" s="52" t="s">
        <v>184</v>
      </c>
      <c r="E1004" s="69">
        <v>44602</v>
      </c>
    </row>
    <row r="1005" spans="1:5" x14ac:dyDescent="0.35">
      <c r="A1005" s="51">
        <v>1</v>
      </c>
      <c r="B1005" s="35" t="s">
        <v>2208</v>
      </c>
      <c r="C1005" s="72" t="s">
        <v>1976</v>
      </c>
      <c r="D1005" s="52" t="s">
        <v>184</v>
      </c>
      <c r="E1005" s="69">
        <v>44602</v>
      </c>
    </row>
    <row r="1006" spans="1:5" x14ac:dyDescent="0.35">
      <c r="A1006" s="51">
        <v>1</v>
      </c>
      <c r="B1006" s="35" t="s">
        <v>2237</v>
      </c>
      <c r="C1006" s="72" t="s">
        <v>1976</v>
      </c>
      <c r="D1006" s="52" t="s">
        <v>184</v>
      </c>
      <c r="E1006" s="69">
        <v>44602</v>
      </c>
    </row>
    <row r="1007" spans="1:5" x14ac:dyDescent="0.35">
      <c r="A1007" s="51">
        <v>1</v>
      </c>
      <c r="B1007" s="35" t="s">
        <v>2285</v>
      </c>
      <c r="C1007" s="72" t="s">
        <v>1976</v>
      </c>
      <c r="D1007" s="52" t="s">
        <v>184</v>
      </c>
      <c r="E1007" s="69">
        <v>44602</v>
      </c>
    </row>
    <row r="1008" spans="1:5" x14ac:dyDescent="0.35">
      <c r="A1008" s="51">
        <v>1</v>
      </c>
      <c r="B1008" s="35" t="s">
        <v>2338</v>
      </c>
      <c r="C1008" s="72" t="s">
        <v>1976</v>
      </c>
      <c r="D1008" s="52" t="s">
        <v>184</v>
      </c>
      <c r="E1008" s="69">
        <v>44602</v>
      </c>
    </row>
    <row r="1009" spans="1:5" x14ac:dyDescent="0.35">
      <c r="A1009" s="51">
        <v>1</v>
      </c>
      <c r="B1009" s="35" t="s">
        <v>2341</v>
      </c>
      <c r="C1009" s="72" t="s">
        <v>1976</v>
      </c>
      <c r="D1009" s="52" t="s">
        <v>184</v>
      </c>
      <c r="E1009" s="69">
        <v>44602</v>
      </c>
    </row>
    <row r="1010" spans="1:5" x14ac:dyDescent="0.35">
      <c r="A1010" s="51">
        <v>1</v>
      </c>
      <c r="B1010" s="35" t="s">
        <v>2346</v>
      </c>
      <c r="C1010" s="72" t="s">
        <v>1976</v>
      </c>
      <c r="D1010" s="52" t="s">
        <v>184</v>
      </c>
      <c r="E1010" s="69">
        <v>44602</v>
      </c>
    </row>
    <row r="1011" spans="1:5" x14ac:dyDescent="0.35">
      <c r="A1011" s="51">
        <v>1</v>
      </c>
      <c r="B1011" s="35" t="s">
        <v>2364</v>
      </c>
      <c r="C1011" s="72" t="s">
        <v>1976</v>
      </c>
      <c r="D1011" s="52" t="s">
        <v>184</v>
      </c>
      <c r="E1011" s="69">
        <v>44602</v>
      </c>
    </row>
    <row r="1012" spans="1:5" x14ac:dyDescent="0.35">
      <c r="A1012" s="51">
        <v>1</v>
      </c>
      <c r="B1012" s="35" t="s">
        <v>2370</v>
      </c>
      <c r="C1012" s="72" t="s">
        <v>1976</v>
      </c>
      <c r="D1012" s="52" t="s">
        <v>184</v>
      </c>
      <c r="E1012" s="69">
        <v>44602</v>
      </c>
    </row>
    <row r="1013" spans="1:5" x14ac:dyDescent="0.35">
      <c r="A1013" s="51">
        <v>1</v>
      </c>
      <c r="B1013" s="35" t="s">
        <v>2373</v>
      </c>
      <c r="C1013" s="72" t="s">
        <v>1976</v>
      </c>
      <c r="D1013" s="52" t="s">
        <v>184</v>
      </c>
      <c r="E1013" s="69">
        <v>44602</v>
      </c>
    </row>
    <row r="1014" spans="1:5" x14ac:dyDescent="0.35">
      <c r="A1014" s="51">
        <v>1</v>
      </c>
      <c r="B1014" s="35" t="s">
        <v>2389</v>
      </c>
      <c r="C1014" s="72" t="s">
        <v>1976</v>
      </c>
      <c r="D1014" s="52" t="s">
        <v>184</v>
      </c>
      <c r="E1014" s="69">
        <v>44602</v>
      </c>
    </row>
    <row r="1015" spans="1:5" x14ac:dyDescent="0.35">
      <c r="A1015" s="51">
        <v>1</v>
      </c>
      <c r="B1015" s="94" t="s">
        <v>2112</v>
      </c>
      <c r="C1015" s="72" t="s">
        <v>1970</v>
      </c>
      <c r="D1015" s="52" t="s">
        <v>184</v>
      </c>
      <c r="E1015" s="69">
        <v>44602</v>
      </c>
    </row>
    <row r="1016" spans="1:5" x14ac:dyDescent="0.35">
      <c r="A1016" s="51">
        <v>1</v>
      </c>
      <c r="B1016" s="94" t="s">
        <v>2306</v>
      </c>
      <c r="C1016" s="72" t="s">
        <v>1970</v>
      </c>
      <c r="D1016" s="52" t="s">
        <v>184</v>
      </c>
      <c r="E1016" s="69">
        <v>44602</v>
      </c>
    </row>
    <row r="1017" spans="1:5" x14ac:dyDescent="0.35">
      <c r="A1017" s="51">
        <v>1</v>
      </c>
      <c r="B1017" s="39" t="s">
        <v>185</v>
      </c>
      <c r="C1017" s="72" t="s">
        <v>1968</v>
      </c>
      <c r="D1017" s="52" t="s">
        <v>184</v>
      </c>
      <c r="E1017" s="69">
        <v>44602</v>
      </c>
    </row>
    <row r="1018" spans="1:5" x14ac:dyDescent="0.35">
      <c r="A1018" s="51">
        <v>1</v>
      </c>
      <c r="B1018" t="s">
        <v>2113</v>
      </c>
      <c r="C1018" s="72" t="s">
        <v>1976</v>
      </c>
      <c r="D1018" s="52" t="s">
        <v>188</v>
      </c>
      <c r="E1018" s="69">
        <v>44616</v>
      </c>
    </row>
    <row r="1019" spans="1:5" x14ac:dyDescent="0.35">
      <c r="A1019" s="51">
        <v>1</v>
      </c>
      <c r="B1019" t="s">
        <v>2194</v>
      </c>
      <c r="C1019" s="72" t="s">
        <v>1976</v>
      </c>
      <c r="D1019" s="52" t="s">
        <v>188</v>
      </c>
      <c r="E1019" s="69">
        <v>44616</v>
      </c>
    </row>
    <row r="1020" spans="1:5" x14ac:dyDescent="0.35">
      <c r="A1020" s="51">
        <v>1</v>
      </c>
      <c r="B1020" t="s">
        <v>2326</v>
      </c>
      <c r="C1020" s="72" t="s">
        <v>1976</v>
      </c>
      <c r="D1020" s="52" t="s">
        <v>188</v>
      </c>
      <c r="E1020" s="69">
        <v>44616</v>
      </c>
    </row>
    <row r="1021" spans="1:5" x14ac:dyDescent="0.35">
      <c r="A1021" s="51">
        <v>1</v>
      </c>
      <c r="B1021" t="s">
        <v>2327</v>
      </c>
      <c r="C1021" s="72" t="s">
        <v>1976</v>
      </c>
      <c r="D1021" s="52" t="s">
        <v>188</v>
      </c>
      <c r="E1021" s="69">
        <v>44616</v>
      </c>
    </row>
    <row r="1022" spans="1:5" x14ac:dyDescent="0.35">
      <c r="A1022" s="51">
        <v>1</v>
      </c>
      <c r="B1022" t="s">
        <v>2338</v>
      </c>
      <c r="C1022" s="72" t="s">
        <v>1976</v>
      </c>
      <c r="D1022" s="52" t="s">
        <v>188</v>
      </c>
      <c r="E1022" s="69">
        <v>44616</v>
      </c>
    </row>
    <row r="1023" spans="1:5" x14ac:dyDescent="0.35">
      <c r="A1023" s="51">
        <v>1</v>
      </c>
      <c r="B1023" t="s">
        <v>2348</v>
      </c>
      <c r="C1023" s="72" t="s">
        <v>1976</v>
      </c>
      <c r="D1023" s="52" t="s">
        <v>188</v>
      </c>
      <c r="E1023" s="69">
        <v>44616</v>
      </c>
    </row>
    <row r="1024" spans="1:5" x14ac:dyDescent="0.35">
      <c r="A1024" s="51">
        <v>1</v>
      </c>
      <c r="B1024" t="s">
        <v>2349</v>
      </c>
      <c r="C1024" s="72" t="s">
        <v>1976</v>
      </c>
      <c r="D1024" s="52" t="s">
        <v>188</v>
      </c>
      <c r="E1024" s="69">
        <v>44616</v>
      </c>
    </row>
    <row r="1025" spans="1:5" x14ac:dyDescent="0.35">
      <c r="A1025" s="51">
        <v>1</v>
      </c>
      <c r="B1025" s="52" t="s">
        <v>2392</v>
      </c>
      <c r="C1025" s="72" t="s">
        <v>1968</v>
      </c>
      <c r="D1025" s="52" t="s">
        <v>188</v>
      </c>
      <c r="E1025" s="69">
        <v>44616</v>
      </c>
    </row>
    <row r="1026" spans="1:5" x14ac:dyDescent="0.35">
      <c r="A1026" s="51">
        <v>1</v>
      </c>
      <c r="B1026" s="52" t="s">
        <v>2393</v>
      </c>
      <c r="C1026" s="72" t="s">
        <v>1968</v>
      </c>
      <c r="D1026" s="52" t="s">
        <v>190</v>
      </c>
      <c r="E1026" s="69">
        <v>44630</v>
      </c>
    </row>
    <row r="1027" spans="1:5" x14ac:dyDescent="0.35">
      <c r="A1027" s="51">
        <v>1</v>
      </c>
      <c r="B1027" s="52" t="s">
        <v>2394</v>
      </c>
      <c r="C1027" s="72" t="s">
        <v>1968</v>
      </c>
      <c r="D1027" s="52" t="s">
        <v>190</v>
      </c>
      <c r="E1027" s="69">
        <v>44630</v>
      </c>
    </row>
    <row r="1028" spans="1:5" x14ac:dyDescent="0.35">
      <c r="A1028" s="51">
        <v>1</v>
      </c>
      <c r="B1028" s="52" t="s">
        <v>2390</v>
      </c>
      <c r="C1028" s="72" t="s">
        <v>1976</v>
      </c>
      <c r="D1028" s="52" t="s">
        <v>190</v>
      </c>
      <c r="E1028" s="69">
        <v>44630</v>
      </c>
    </row>
    <row r="1029" spans="1:5" x14ac:dyDescent="0.35">
      <c r="A1029" s="51">
        <v>1</v>
      </c>
      <c r="B1029" s="52" t="s">
        <v>2035</v>
      </c>
      <c r="C1029" s="72" t="s">
        <v>1976</v>
      </c>
      <c r="D1029" s="52" t="s">
        <v>190</v>
      </c>
      <c r="E1029" s="69">
        <v>44630</v>
      </c>
    </row>
    <row r="1030" spans="1:5" x14ac:dyDescent="0.35">
      <c r="A1030" s="51">
        <v>1</v>
      </c>
      <c r="B1030" s="52" t="s">
        <v>2251</v>
      </c>
      <c r="C1030" s="72" t="s">
        <v>1976</v>
      </c>
      <c r="D1030" s="52" t="s">
        <v>190</v>
      </c>
      <c r="E1030" s="69">
        <v>44630</v>
      </c>
    </row>
    <row r="1031" spans="1:5" x14ac:dyDescent="0.35">
      <c r="A1031" s="51">
        <v>1</v>
      </c>
      <c r="B1031" s="52" t="s">
        <v>2348</v>
      </c>
      <c r="C1031" s="72" t="s">
        <v>1976</v>
      </c>
      <c r="D1031" s="52" t="s">
        <v>190</v>
      </c>
      <c r="E1031" s="69">
        <v>44630</v>
      </c>
    </row>
    <row r="1032" spans="1:5" x14ac:dyDescent="0.35">
      <c r="A1032" s="51">
        <v>1</v>
      </c>
      <c r="B1032" s="52" t="s">
        <v>2113</v>
      </c>
      <c r="C1032" s="72" t="s">
        <v>1976</v>
      </c>
      <c r="D1032" s="52" t="s">
        <v>190</v>
      </c>
      <c r="E1032" s="69">
        <v>44630</v>
      </c>
    </row>
    <row r="1033" spans="1:5" x14ac:dyDescent="0.35">
      <c r="A1033" s="51">
        <v>1</v>
      </c>
      <c r="B1033" s="52" t="s">
        <v>2395</v>
      </c>
      <c r="C1033" s="72" t="s">
        <v>1968</v>
      </c>
      <c r="D1033" s="52" t="s">
        <v>193</v>
      </c>
      <c r="E1033" s="69">
        <v>44650</v>
      </c>
    </row>
    <row r="1034" spans="1:5" x14ac:dyDescent="0.35">
      <c r="A1034" s="51">
        <v>1</v>
      </c>
      <c r="B1034" s="52" t="s">
        <v>2396</v>
      </c>
      <c r="C1034" s="72" t="s">
        <v>1968</v>
      </c>
      <c r="D1034" s="52" t="s">
        <v>193</v>
      </c>
      <c r="E1034" s="69">
        <v>44650</v>
      </c>
    </row>
    <row r="1035" spans="1:5" x14ac:dyDescent="0.35">
      <c r="A1035" s="51">
        <v>1</v>
      </c>
      <c r="B1035" s="52" t="s">
        <v>2397</v>
      </c>
      <c r="C1035" s="72" t="s">
        <v>1968</v>
      </c>
      <c r="D1035" s="52" t="s">
        <v>193</v>
      </c>
      <c r="E1035" s="69">
        <v>44650</v>
      </c>
    </row>
    <row r="1036" spans="1:5" x14ac:dyDescent="0.35">
      <c r="A1036" s="51">
        <v>1</v>
      </c>
      <c r="B1036" s="52" t="s">
        <v>2398</v>
      </c>
      <c r="C1036" s="72" t="s">
        <v>1968</v>
      </c>
      <c r="D1036" s="52" t="s">
        <v>193</v>
      </c>
      <c r="E1036" s="69">
        <v>44650</v>
      </c>
    </row>
    <row r="1037" spans="1:5" x14ac:dyDescent="0.35">
      <c r="A1037" s="51">
        <v>1</v>
      </c>
      <c r="B1037" s="52" t="s">
        <v>2399</v>
      </c>
      <c r="C1037" s="72" t="s">
        <v>1968</v>
      </c>
      <c r="D1037" s="52" t="s">
        <v>193</v>
      </c>
      <c r="E1037" s="69">
        <v>44650</v>
      </c>
    </row>
    <row r="1038" spans="1:5" x14ac:dyDescent="0.35">
      <c r="A1038" s="51">
        <v>1</v>
      </c>
      <c r="B1038" s="52" t="s">
        <v>2212</v>
      </c>
      <c r="C1038" s="72" t="s">
        <v>1970</v>
      </c>
      <c r="D1038" s="52" t="s">
        <v>193</v>
      </c>
      <c r="E1038" s="69">
        <v>44650</v>
      </c>
    </row>
    <row r="1039" spans="1:5" x14ac:dyDescent="0.35">
      <c r="A1039" s="51">
        <v>1</v>
      </c>
      <c r="B1039" s="52" t="s">
        <v>2251</v>
      </c>
      <c r="C1039" s="72" t="s">
        <v>1970</v>
      </c>
      <c r="D1039" s="52" t="s">
        <v>193</v>
      </c>
      <c r="E1039" s="69">
        <v>44650</v>
      </c>
    </row>
    <row r="1040" spans="1:5" x14ac:dyDescent="0.35">
      <c r="A1040" s="51">
        <v>1</v>
      </c>
      <c r="B1040" s="52" t="s">
        <v>2288</v>
      </c>
      <c r="C1040" s="72" t="s">
        <v>1970</v>
      </c>
      <c r="D1040" s="52" t="s">
        <v>193</v>
      </c>
      <c r="E1040" s="69">
        <v>44650</v>
      </c>
    </row>
    <row r="1041" spans="1:5" x14ac:dyDescent="0.35">
      <c r="A1041" s="51">
        <v>1</v>
      </c>
      <c r="B1041" s="52" t="s">
        <v>2323</v>
      </c>
      <c r="C1041" s="72" t="s">
        <v>1970</v>
      </c>
      <c r="D1041" s="52" t="s">
        <v>193</v>
      </c>
      <c r="E1041" s="69">
        <v>44650</v>
      </c>
    </row>
    <row r="1042" spans="1:5" x14ac:dyDescent="0.35">
      <c r="A1042" s="51">
        <v>1</v>
      </c>
      <c r="B1042" s="52" t="s">
        <v>2335</v>
      </c>
      <c r="C1042" s="72" t="s">
        <v>1970</v>
      </c>
      <c r="D1042" s="52" t="s">
        <v>193</v>
      </c>
      <c r="E1042" s="69">
        <v>44650</v>
      </c>
    </row>
    <row r="1043" spans="1:5" x14ac:dyDescent="0.35">
      <c r="A1043" s="51">
        <v>1</v>
      </c>
      <c r="B1043" s="52" t="s">
        <v>2348</v>
      </c>
      <c r="C1043" s="72" t="s">
        <v>1970</v>
      </c>
      <c r="D1043" s="52" t="s">
        <v>193</v>
      </c>
      <c r="E1043" s="69">
        <v>44650</v>
      </c>
    </row>
    <row r="1044" spans="1:5" x14ac:dyDescent="0.35">
      <c r="A1044" s="51">
        <v>1</v>
      </c>
      <c r="B1044" s="52" t="s">
        <v>2363</v>
      </c>
      <c r="C1044" s="72" t="s">
        <v>1970</v>
      </c>
      <c r="D1044" s="52" t="s">
        <v>193</v>
      </c>
      <c r="E1044" s="69">
        <v>44650</v>
      </c>
    </row>
    <row r="1045" spans="1:5" x14ac:dyDescent="0.35">
      <c r="A1045" s="51">
        <v>1</v>
      </c>
      <c r="B1045" s="52" t="s">
        <v>2366</v>
      </c>
      <c r="C1045" s="72" t="s">
        <v>1970</v>
      </c>
      <c r="D1045" s="52" t="s">
        <v>193</v>
      </c>
      <c r="E1045" s="69">
        <v>44650</v>
      </c>
    </row>
    <row r="1046" spans="1:5" x14ac:dyDescent="0.35">
      <c r="A1046" s="51">
        <v>1</v>
      </c>
      <c r="B1046" s="52" t="s">
        <v>2371</v>
      </c>
      <c r="C1046" s="72" t="s">
        <v>1970</v>
      </c>
      <c r="D1046" s="52" t="s">
        <v>193</v>
      </c>
      <c r="E1046" s="69">
        <v>44650</v>
      </c>
    </row>
    <row r="1047" spans="1:5" x14ac:dyDescent="0.35">
      <c r="A1047" s="51">
        <v>1</v>
      </c>
      <c r="B1047" s="52" t="s">
        <v>2378</v>
      </c>
      <c r="C1047" s="72" t="s">
        <v>1970</v>
      </c>
      <c r="D1047" s="52" t="s">
        <v>193</v>
      </c>
      <c r="E1047" s="69">
        <v>44650</v>
      </c>
    </row>
    <row r="1048" spans="1:5" x14ac:dyDescent="0.35">
      <c r="A1048" s="51">
        <v>1</v>
      </c>
      <c r="B1048" s="52" t="s">
        <v>2391</v>
      </c>
      <c r="C1048" s="72" t="s">
        <v>1970</v>
      </c>
      <c r="D1048" s="52" t="s">
        <v>193</v>
      </c>
      <c r="E1048" s="69">
        <v>44650</v>
      </c>
    </row>
    <row r="1049" spans="1:5" x14ac:dyDescent="0.35">
      <c r="A1049" s="51">
        <v>1</v>
      </c>
      <c r="B1049" s="52" t="s">
        <v>2343</v>
      </c>
      <c r="C1049" s="72" t="s">
        <v>1976</v>
      </c>
      <c r="D1049" s="52" t="s">
        <v>193</v>
      </c>
      <c r="E1049" s="69">
        <v>44650</v>
      </c>
    </row>
    <row r="1050" spans="1:5" x14ac:dyDescent="0.35">
      <c r="A1050" s="51">
        <v>1</v>
      </c>
      <c r="B1050" s="52" t="s">
        <v>2349</v>
      </c>
      <c r="C1050" s="72" t="s">
        <v>1976</v>
      </c>
      <c r="D1050" s="52" t="s">
        <v>193</v>
      </c>
      <c r="E1050" s="69">
        <v>44650</v>
      </c>
    </row>
    <row r="1051" spans="1:5" x14ac:dyDescent="0.35">
      <c r="A1051" s="51">
        <v>1</v>
      </c>
      <c r="B1051" s="52" t="s">
        <v>2394</v>
      </c>
      <c r="C1051" s="72" t="s">
        <v>1976</v>
      </c>
      <c r="D1051" s="52" t="s">
        <v>193</v>
      </c>
      <c r="E1051" s="69">
        <v>44650</v>
      </c>
    </row>
    <row r="1052" spans="1:5" x14ac:dyDescent="0.35">
      <c r="A1052" s="51">
        <v>1</v>
      </c>
      <c r="B1052" s="52" t="s">
        <v>1962</v>
      </c>
      <c r="C1052" s="72" t="s">
        <v>1968</v>
      </c>
      <c r="D1052" s="52" t="s">
        <v>193</v>
      </c>
      <c r="E1052" s="69">
        <v>44650</v>
      </c>
    </row>
    <row r="1053" spans="1:5" x14ac:dyDescent="0.35">
      <c r="A1053" s="51">
        <v>1</v>
      </c>
      <c r="B1053" s="52" t="s">
        <v>1934</v>
      </c>
      <c r="C1053" s="72" t="s">
        <v>1968</v>
      </c>
      <c r="D1053" s="52" t="s">
        <v>193</v>
      </c>
      <c r="E1053" s="69">
        <v>44650</v>
      </c>
    </row>
    <row r="1054" spans="1:5" x14ac:dyDescent="0.35">
      <c r="A1054" s="51">
        <v>1</v>
      </c>
      <c r="B1054" s="52" t="s">
        <v>2400</v>
      </c>
      <c r="C1054" s="72" t="s">
        <v>1968</v>
      </c>
      <c r="D1054" s="52" t="s">
        <v>198</v>
      </c>
      <c r="E1054" s="69">
        <v>44658</v>
      </c>
    </row>
    <row r="1055" spans="1:5" x14ac:dyDescent="0.35">
      <c r="A1055" s="51">
        <v>1</v>
      </c>
      <c r="B1055" s="52" t="s">
        <v>2401</v>
      </c>
      <c r="C1055" s="72" t="s">
        <v>1968</v>
      </c>
      <c r="D1055" s="52" t="s">
        <v>198</v>
      </c>
      <c r="E1055" s="69">
        <v>44658</v>
      </c>
    </row>
    <row r="1056" spans="1:5" x14ac:dyDescent="0.35">
      <c r="A1056" s="51">
        <v>1</v>
      </c>
      <c r="B1056" s="52" t="s">
        <v>2402</v>
      </c>
      <c r="C1056" s="72" t="s">
        <v>1968</v>
      </c>
      <c r="D1056" s="52" t="s">
        <v>198</v>
      </c>
      <c r="E1056" s="69">
        <v>44658</v>
      </c>
    </row>
    <row r="1057" spans="1:5" x14ac:dyDescent="0.35">
      <c r="A1057" s="51">
        <v>1</v>
      </c>
      <c r="B1057" s="52" t="s">
        <v>2100</v>
      </c>
      <c r="C1057" s="72" t="s">
        <v>1976</v>
      </c>
      <c r="D1057" s="52" t="s">
        <v>198</v>
      </c>
      <c r="E1057" s="69">
        <v>44658</v>
      </c>
    </row>
    <row r="1058" spans="1:5" x14ac:dyDescent="0.35">
      <c r="A1058" s="51">
        <v>1</v>
      </c>
      <c r="B1058" s="52" t="s">
        <v>2117</v>
      </c>
      <c r="C1058" s="72" t="s">
        <v>1976</v>
      </c>
      <c r="D1058" s="52" t="s">
        <v>198</v>
      </c>
      <c r="E1058" s="69">
        <v>44658</v>
      </c>
    </row>
    <row r="1059" spans="1:5" x14ac:dyDescent="0.35">
      <c r="A1059" s="51">
        <v>1</v>
      </c>
      <c r="B1059" s="52" t="s">
        <v>2267</v>
      </c>
      <c r="C1059" s="72" t="s">
        <v>1976</v>
      </c>
      <c r="D1059" s="52" t="s">
        <v>198</v>
      </c>
      <c r="E1059" s="69">
        <v>44658</v>
      </c>
    </row>
    <row r="1060" spans="1:5" x14ac:dyDescent="0.35">
      <c r="A1060" s="51">
        <v>1</v>
      </c>
      <c r="B1060" s="52" t="s">
        <v>2360</v>
      </c>
      <c r="C1060" s="72" t="s">
        <v>1976</v>
      </c>
      <c r="D1060" s="52" t="s">
        <v>198</v>
      </c>
      <c r="E1060" s="69">
        <v>44658</v>
      </c>
    </row>
    <row r="1061" spans="1:5" x14ac:dyDescent="0.35">
      <c r="A1061" s="51">
        <v>1</v>
      </c>
      <c r="B1061" s="52" t="s">
        <v>2392</v>
      </c>
      <c r="C1061" s="72" t="s">
        <v>1976</v>
      </c>
      <c r="D1061" s="52" t="s">
        <v>198</v>
      </c>
      <c r="E1061" s="69">
        <v>44658</v>
      </c>
    </row>
    <row r="1062" spans="1:5" x14ac:dyDescent="0.35">
      <c r="A1062" s="51">
        <v>1</v>
      </c>
      <c r="B1062" s="52" t="s">
        <v>2396</v>
      </c>
      <c r="C1062" s="72" t="s">
        <v>1976</v>
      </c>
      <c r="D1062" s="52" t="s">
        <v>198</v>
      </c>
      <c r="E1062" s="69">
        <v>44658</v>
      </c>
    </row>
    <row r="1063" spans="1:5" x14ac:dyDescent="0.35">
      <c r="A1063" s="51">
        <v>1</v>
      </c>
      <c r="B1063" s="52" t="s">
        <v>2397</v>
      </c>
      <c r="C1063" s="72" t="s">
        <v>1976</v>
      </c>
      <c r="D1063" s="52" t="s">
        <v>198</v>
      </c>
      <c r="E1063" s="69">
        <v>44658</v>
      </c>
    </row>
    <row r="1064" spans="1:5" x14ac:dyDescent="0.35">
      <c r="A1064" s="51">
        <v>1</v>
      </c>
      <c r="B1064" s="52" t="s">
        <v>2346</v>
      </c>
      <c r="C1064" s="72" t="s">
        <v>1970</v>
      </c>
      <c r="D1064" s="52" t="s">
        <v>198</v>
      </c>
      <c r="E1064" s="69">
        <v>44658</v>
      </c>
    </row>
    <row r="1065" spans="1:5" x14ac:dyDescent="0.35">
      <c r="A1065" s="51">
        <v>1</v>
      </c>
      <c r="B1065" s="52" t="s">
        <v>2116</v>
      </c>
      <c r="C1065" s="72" t="s">
        <v>1970</v>
      </c>
      <c r="D1065" s="52" t="s">
        <v>198</v>
      </c>
      <c r="E1065" s="69">
        <v>44658</v>
      </c>
    </row>
    <row r="1066" spans="1:5" x14ac:dyDescent="0.35">
      <c r="A1066" s="51">
        <v>1</v>
      </c>
      <c r="B1066" s="52" t="s">
        <v>2231</v>
      </c>
      <c r="C1066" s="72" t="s">
        <v>1970</v>
      </c>
      <c r="D1066" s="52" t="s">
        <v>198</v>
      </c>
      <c r="E1066" s="69">
        <v>44658</v>
      </c>
    </row>
    <row r="1067" spans="1:5" x14ac:dyDescent="0.35">
      <c r="A1067" s="51">
        <v>1</v>
      </c>
      <c r="B1067" s="52" t="s">
        <v>2403</v>
      </c>
      <c r="C1067" s="72" t="s">
        <v>1968</v>
      </c>
      <c r="D1067" s="52" t="s">
        <v>203</v>
      </c>
      <c r="E1067" s="69">
        <v>44672</v>
      </c>
    </row>
    <row r="1068" spans="1:5" x14ac:dyDescent="0.35">
      <c r="A1068" s="51">
        <v>1</v>
      </c>
      <c r="B1068" s="52" t="s">
        <v>2365</v>
      </c>
      <c r="C1068" s="72" t="s">
        <v>1970</v>
      </c>
      <c r="D1068" s="52" t="s">
        <v>203</v>
      </c>
      <c r="E1068" s="69">
        <v>44672</v>
      </c>
    </row>
    <row r="1069" spans="1:5" x14ac:dyDescent="0.35">
      <c r="A1069" s="51">
        <v>1</v>
      </c>
      <c r="B1069" s="52" t="s">
        <v>2362</v>
      </c>
      <c r="C1069" s="72" t="s">
        <v>1970</v>
      </c>
      <c r="D1069" s="52" t="s">
        <v>203</v>
      </c>
      <c r="E1069" s="69">
        <v>44672</v>
      </c>
    </row>
    <row r="1070" spans="1:5" x14ac:dyDescent="0.35">
      <c r="A1070" s="51">
        <v>1</v>
      </c>
      <c r="B1070" s="52" t="s">
        <v>2178</v>
      </c>
      <c r="C1070" s="72" t="s">
        <v>1976</v>
      </c>
      <c r="D1070" s="52" t="s">
        <v>203</v>
      </c>
      <c r="E1070" s="69">
        <v>44672</v>
      </c>
    </row>
    <row r="1071" spans="1:5" x14ac:dyDescent="0.35">
      <c r="A1071" s="51">
        <v>1</v>
      </c>
      <c r="B1071" s="52" t="s">
        <v>2352</v>
      </c>
      <c r="C1071" s="72" t="s">
        <v>1976</v>
      </c>
      <c r="D1071" s="52" t="s">
        <v>203</v>
      </c>
      <c r="E1071" s="69">
        <v>44672</v>
      </c>
    </row>
    <row r="1072" spans="1:5" x14ac:dyDescent="0.35">
      <c r="A1072" s="51">
        <v>1</v>
      </c>
      <c r="B1072" s="52" t="s">
        <v>2101</v>
      </c>
      <c r="C1072" s="72" t="s">
        <v>1976</v>
      </c>
      <c r="D1072" s="52" t="s">
        <v>203</v>
      </c>
      <c r="E1072" s="69">
        <v>44672</v>
      </c>
    </row>
    <row r="1073" spans="1:5" x14ac:dyDescent="0.35">
      <c r="A1073" s="51">
        <v>1</v>
      </c>
      <c r="B1073" s="52" t="s">
        <v>2341</v>
      </c>
      <c r="C1073" s="72" t="s">
        <v>1976</v>
      </c>
      <c r="D1073" s="52" t="s">
        <v>203</v>
      </c>
      <c r="E1073" s="69">
        <v>44672</v>
      </c>
    </row>
    <row r="1074" spans="1:5" x14ac:dyDescent="0.35">
      <c r="A1074" s="51">
        <v>1</v>
      </c>
      <c r="B1074" s="52" t="s">
        <v>2343</v>
      </c>
      <c r="C1074" s="72" t="s">
        <v>1976</v>
      </c>
      <c r="D1074" s="52" t="s">
        <v>203</v>
      </c>
      <c r="E1074" s="69">
        <v>44672</v>
      </c>
    </row>
    <row r="1075" spans="1:5" x14ac:dyDescent="0.35">
      <c r="A1075" s="51">
        <v>1</v>
      </c>
      <c r="B1075" s="52" t="s">
        <v>2351</v>
      </c>
      <c r="C1075" s="72" t="s">
        <v>1976</v>
      </c>
      <c r="D1075" s="52" t="s">
        <v>203</v>
      </c>
      <c r="E1075" s="69">
        <v>44672</v>
      </c>
    </row>
    <row r="1076" spans="1:5" x14ac:dyDescent="0.35">
      <c r="A1076" s="51">
        <v>1</v>
      </c>
      <c r="B1076" s="52" t="s">
        <v>2035</v>
      </c>
      <c r="C1076" s="72" t="s">
        <v>1976</v>
      </c>
      <c r="D1076" s="52" t="s">
        <v>203</v>
      </c>
      <c r="E1076" s="69">
        <v>44672</v>
      </c>
    </row>
    <row r="1077" spans="1:5" x14ac:dyDescent="0.35">
      <c r="A1077" s="51">
        <v>1</v>
      </c>
      <c r="B1077" s="52" t="s">
        <v>2105</v>
      </c>
      <c r="C1077" s="72" t="s">
        <v>1976</v>
      </c>
      <c r="D1077" s="52" t="s">
        <v>203</v>
      </c>
      <c r="E1077" s="69">
        <v>44672</v>
      </c>
    </row>
    <row r="1078" spans="1:5" x14ac:dyDescent="0.35">
      <c r="A1078" s="51">
        <v>1</v>
      </c>
      <c r="B1078" s="52" t="s">
        <v>2158</v>
      </c>
      <c r="C1078" s="72" t="s">
        <v>1976</v>
      </c>
      <c r="D1078" s="52" t="s">
        <v>203</v>
      </c>
      <c r="E1078" s="69">
        <v>44672</v>
      </c>
    </row>
    <row r="1079" spans="1:5" x14ac:dyDescent="0.35">
      <c r="A1079" s="51">
        <v>1</v>
      </c>
      <c r="B1079" s="52" t="s">
        <v>2173</v>
      </c>
      <c r="C1079" s="72" t="s">
        <v>1976</v>
      </c>
      <c r="D1079" s="52" t="s">
        <v>203</v>
      </c>
      <c r="E1079" s="69">
        <v>44672</v>
      </c>
    </row>
    <row r="1080" spans="1:5" x14ac:dyDescent="0.35">
      <c r="A1080" s="51">
        <v>1</v>
      </c>
      <c r="B1080" s="52" t="s">
        <v>2208</v>
      </c>
      <c r="C1080" s="72" t="s">
        <v>1976</v>
      </c>
      <c r="D1080" s="52" t="s">
        <v>203</v>
      </c>
      <c r="E1080" s="69">
        <v>44672</v>
      </c>
    </row>
    <row r="1081" spans="1:5" x14ac:dyDescent="0.35">
      <c r="A1081" s="51">
        <v>1</v>
      </c>
      <c r="B1081" s="52" t="s">
        <v>2225</v>
      </c>
      <c r="C1081" s="72" t="s">
        <v>1976</v>
      </c>
      <c r="D1081" s="52" t="s">
        <v>203</v>
      </c>
      <c r="E1081" s="69">
        <v>44672</v>
      </c>
    </row>
    <row r="1082" spans="1:5" x14ac:dyDescent="0.35">
      <c r="A1082" s="51">
        <v>1</v>
      </c>
      <c r="B1082" s="52" t="s">
        <v>2237</v>
      </c>
      <c r="C1082" s="72" t="s">
        <v>1976</v>
      </c>
      <c r="D1082" s="52" t="s">
        <v>203</v>
      </c>
      <c r="E1082" s="69">
        <v>44672</v>
      </c>
    </row>
    <row r="1083" spans="1:5" x14ac:dyDescent="0.35">
      <c r="A1083" s="51">
        <v>1</v>
      </c>
      <c r="B1083" s="52" t="s">
        <v>2305</v>
      </c>
      <c r="C1083" s="72" t="s">
        <v>1976</v>
      </c>
      <c r="D1083" s="52" t="s">
        <v>203</v>
      </c>
      <c r="E1083" s="69">
        <v>44672</v>
      </c>
    </row>
    <row r="1084" spans="1:5" x14ac:dyDescent="0.35">
      <c r="A1084" s="51">
        <v>1</v>
      </c>
      <c r="B1084" s="52" t="s">
        <v>2318</v>
      </c>
      <c r="C1084" s="72" t="s">
        <v>1976</v>
      </c>
      <c r="D1084" s="52" t="s">
        <v>203</v>
      </c>
      <c r="E1084" s="69">
        <v>44672</v>
      </c>
    </row>
    <row r="1085" spans="1:5" x14ac:dyDescent="0.35">
      <c r="A1085" s="51">
        <v>1</v>
      </c>
      <c r="B1085" s="52" t="s">
        <v>2326</v>
      </c>
      <c r="C1085" s="72" t="s">
        <v>1976</v>
      </c>
      <c r="D1085" s="52" t="s">
        <v>203</v>
      </c>
      <c r="E1085" s="69">
        <v>44672</v>
      </c>
    </row>
    <row r="1086" spans="1:5" x14ac:dyDescent="0.35">
      <c r="A1086" s="51">
        <v>1</v>
      </c>
      <c r="B1086" s="52" t="s">
        <v>2327</v>
      </c>
      <c r="C1086" s="72" t="s">
        <v>1976</v>
      </c>
      <c r="D1086" s="52" t="s">
        <v>203</v>
      </c>
      <c r="E1086" s="69">
        <v>44672</v>
      </c>
    </row>
    <row r="1087" spans="1:5" x14ac:dyDescent="0.35">
      <c r="A1087" s="51">
        <v>1</v>
      </c>
      <c r="B1087" s="52" t="s">
        <v>2394</v>
      </c>
      <c r="C1087" s="72" t="s">
        <v>1976</v>
      </c>
      <c r="D1087" s="52" t="s">
        <v>203</v>
      </c>
      <c r="E1087" s="69">
        <v>44672</v>
      </c>
    </row>
    <row r="1088" spans="1:5" x14ac:dyDescent="0.35">
      <c r="A1088" s="51">
        <v>1</v>
      </c>
      <c r="B1088" s="52" t="s">
        <v>2395</v>
      </c>
      <c r="C1088" s="72" t="s">
        <v>1976</v>
      </c>
      <c r="D1088" s="52" t="s">
        <v>203</v>
      </c>
      <c r="E1088" s="69">
        <v>44672</v>
      </c>
    </row>
    <row r="1089" spans="1:5" x14ac:dyDescent="0.35">
      <c r="A1089" s="51">
        <v>1</v>
      </c>
      <c r="B1089" s="52" t="s">
        <v>2399</v>
      </c>
      <c r="C1089" s="72" t="s">
        <v>1976</v>
      </c>
      <c r="D1089" s="52" t="s">
        <v>203</v>
      </c>
      <c r="E1089" s="69">
        <v>44672</v>
      </c>
    </row>
    <row r="1090" spans="1:5" x14ac:dyDescent="0.35">
      <c r="A1090" s="51">
        <v>1</v>
      </c>
      <c r="B1090" s="52" t="s">
        <v>2402</v>
      </c>
      <c r="C1090" s="72" t="s">
        <v>1976</v>
      </c>
      <c r="D1090" s="52" t="s">
        <v>203</v>
      </c>
      <c r="E1090" s="69">
        <v>44672</v>
      </c>
    </row>
    <row r="1091" spans="1:5" x14ac:dyDescent="0.35">
      <c r="A1091" s="51">
        <v>1</v>
      </c>
      <c r="B1091" s="52" t="s">
        <v>2379</v>
      </c>
      <c r="C1091" s="72" t="s">
        <v>1976</v>
      </c>
      <c r="D1091" s="52" t="s">
        <v>203</v>
      </c>
      <c r="E1091" s="69">
        <v>44672</v>
      </c>
    </row>
    <row r="1092" spans="1:5" x14ac:dyDescent="0.35">
      <c r="A1092" s="51">
        <v>1</v>
      </c>
      <c r="B1092" s="52" t="s">
        <v>2162</v>
      </c>
      <c r="C1092" s="72" t="s">
        <v>1976</v>
      </c>
      <c r="D1092" s="52" t="s">
        <v>203</v>
      </c>
      <c r="E1092" s="69">
        <v>44672</v>
      </c>
    </row>
    <row r="1093" spans="1:5" x14ac:dyDescent="0.35">
      <c r="A1093" s="51">
        <v>1</v>
      </c>
      <c r="B1093" s="52" t="s">
        <v>2285</v>
      </c>
      <c r="C1093" s="72" t="s">
        <v>1976</v>
      </c>
      <c r="D1093" s="52" t="s">
        <v>203</v>
      </c>
      <c r="E1093" s="69">
        <v>44672</v>
      </c>
    </row>
    <row r="1094" spans="1:5" x14ac:dyDescent="0.35">
      <c r="A1094" s="51">
        <v>1</v>
      </c>
      <c r="B1094" s="52" t="s">
        <v>2349</v>
      </c>
      <c r="C1094" s="72" t="s">
        <v>1976</v>
      </c>
      <c r="D1094" s="52" t="s">
        <v>203</v>
      </c>
      <c r="E1094" s="69">
        <v>44672</v>
      </c>
    </row>
    <row r="1095" spans="1:5" x14ac:dyDescent="0.35">
      <c r="A1095" s="51">
        <v>1</v>
      </c>
      <c r="B1095" s="52" t="s">
        <v>2404</v>
      </c>
      <c r="C1095" s="72" t="s">
        <v>1968</v>
      </c>
      <c r="D1095" s="52" t="s">
        <v>207</v>
      </c>
      <c r="E1095" s="69">
        <v>44686</v>
      </c>
    </row>
    <row r="1096" spans="1:5" x14ac:dyDescent="0.35">
      <c r="A1096" s="51">
        <v>1</v>
      </c>
      <c r="B1096" s="52" t="s">
        <v>2405</v>
      </c>
      <c r="C1096" s="72" t="s">
        <v>1968</v>
      </c>
      <c r="D1096" s="52" t="s">
        <v>207</v>
      </c>
      <c r="E1096" s="69">
        <v>44686</v>
      </c>
    </row>
    <row r="1097" spans="1:5" x14ac:dyDescent="0.35">
      <c r="A1097" s="51">
        <v>1</v>
      </c>
      <c r="B1097" s="52" t="s">
        <v>2406</v>
      </c>
      <c r="C1097" s="72" t="s">
        <v>1968</v>
      </c>
      <c r="D1097" s="52" t="s">
        <v>207</v>
      </c>
      <c r="E1097" s="69">
        <v>44686</v>
      </c>
    </row>
    <row r="1098" spans="1:5" x14ac:dyDescent="0.35">
      <c r="A1098" s="51">
        <v>1</v>
      </c>
      <c r="B1098" s="52" t="s">
        <v>2222</v>
      </c>
      <c r="C1098" s="72" t="s">
        <v>1970</v>
      </c>
      <c r="D1098" s="52" t="s">
        <v>207</v>
      </c>
      <c r="E1098" s="69">
        <v>44686</v>
      </c>
    </row>
    <row r="1099" spans="1:5" x14ac:dyDescent="0.35">
      <c r="A1099" s="51">
        <v>1</v>
      </c>
      <c r="B1099" s="52" t="s">
        <v>2407</v>
      </c>
      <c r="C1099" s="72" t="s">
        <v>1970</v>
      </c>
      <c r="D1099" s="52" t="s">
        <v>207</v>
      </c>
      <c r="E1099" s="69">
        <v>44686</v>
      </c>
    </row>
    <row r="1100" spans="1:5" x14ac:dyDescent="0.35">
      <c r="A1100" s="51">
        <v>1</v>
      </c>
      <c r="B1100" s="52" t="s">
        <v>2408</v>
      </c>
      <c r="C1100" s="72" t="s">
        <v>1970</v>
      </c>
      <c r="D1100" s="52" t="s">
        <v>207</v>
      </c>
      <c r="E1100" s="69">
        <v>44686</v>
      </c>
    </row>
    <row r="1101" spans="1:5" x14ac:dyDescent="0.35">
      <c r="A1101" s="51">
        <v>1</v>
      </c>
      <c r="B1101" s="52" t="s">
        <v>2370</v>
      </c>
      <c r="C1101" s="72" t="s">
        <v>1976</v>
      </c>
      <c r="D1101" s="52" t="s">
        <v>207</v>
      </c>
      <c r="E1101" s="69">
        <v>44686</v>
      </c>
    </row>
    <row r="1102" spans="1:5" x14ac:dyDescent="0.35">
      <c r="A1102" s="51">
        <v>1</v>
      </c>
      <c r="B1102" s="52" t="s">
        <v>2401</v>
      </c>
      <c r="C1102" s="72" t="s">
        <v>1976</v>
      </c>
      <c r="D1102" s="52" t="s">
        <v>207</v>
      </c>
      <c r="E1102" s="69">
        <v>44686</v>
      </c>
    </row>
    <row r="1103" spans="1:5" x14ac:dyDescent="0.35">
      <c r="A1103" s="51">
        <v>1</v>
      </c>
      <c r="B1103" s="52" t="s">
        <v>2409</v>
      </c>
      <c r="C1103" s="72" t="s">
        <v>1968</v>
      </c>
      <c r="D1103" s="52" t="s">
        <v>211</v>
      </c>
      <c r="E1103" s="69">
        <v>44700</v>
      </c>
    </row>
    <row r="1104" spans="1:5" x14ac:dyDescent="0.35">
      <c r="A1104" s="51">
        <v>1</v>
      </c>
      <c r="B1104" s="52" t="s">
        <v>2410</v>
      </c>
      <c r="C1104" s="72" t="s">
        <v>1968</v>
      </c>
      <c r="D1104" s="52" t="s">
        <v>211</v>
      </c>
      <c r="E1104" s="69">
        <v>44700</v>
      </c>
    </row>
    <row r="1105" spans="1:5" x14ac:dyDescent="0.35">
      <c r="A1105" s="51">
        <v>1</v>
      </c>
      <c r="B1105" s="52" t="s">
        <v>2265</v>
      </c>
      <c r="C1105" s="72" t="s">
        <v>1970</v>
      </c>
      <c r="D1105" s="52" t="s">
        <v>211</v>
      </c>
      <c r="E1105" s="69">
        <v>44700</v>
      </c>
    </row>
    <row r="1106" spans="1:5" x14ac:dyDescent="0.35">
      <c r="A1106" s="51">
        <v>1</v>
      </c>
      <c r="B1106" s="52" t="s">
        <v>2285</v>
      </c>
      <c r="C1106" s="72" t="s">
        <v>1970</v>
      </c>
      <c r="D1106" s="52" t="s">
        <v>211</v>
      </c>
      <c r="E1106" s="69">
        <v>44700</v>
      </c>
    </row>
    <row r="1107" spans="1:5" x14ac:dyDescent="0.35">
      <c r="A1107" s="51">
        <v>1</v>
      </c>
      <c r="B1107" s="52" t="s">
        <v>2327</v>
      </c>
      <c r="C1107" s="72" t="s">
        <v>1970</v>
      </c>
      <c r="D1107" s="52" t="s">
        <v>211</v>
      </c>
      <c r="E1107" s="69">
        <v>44700</v>
      </c>
    </row>
    <row r="1108" spans="1:5" x14ac:dyDescent="0.35">
      <c r="A1108" s="51">
        <v>1</v>
      </c>
      <c r="B1108" s="52" t="s">
        <v>2349</v>
      </c>
      <c r="C1108" s="72" t="s">
        <v>1970</v>
      </c>
      <c r="D1108" s="52" t="s">
        <v>211</v>
      </c>
      <c r="E1108" s="69">
        <v>44700</v>
      </c>
    </row>
    <row r="1109" spans="1:5" x14ac:dyDescent="0.35">
      <c r="A1109" s="51">
        <v>1</v>
      </c>
      <c r="B1109" s="52" t="s">
        <v>2401</v>
      </c>
      <c r="C1109" s="48" t="s">
        <v>1975</v>
      </c>
      <c r="D1109" s="52" t="s">
        <v>211</v>
      </c>
      <c r="E1109" s="69">
        <v>44700</v>
      </c>
    </row>
    <row r="1110" spans="1:5" x14ac:dyDescent="0.35">
      <c r="A1110" s="51">
        <v>1</v>
      </c>
      <c r="B1110" s="52" t="s">
        <v>2403</v>
      </c>
      <c r="C1110" s="48" t="s">
        <v>1975</v>
      </c>
      <c r="D1110" s="52" t="s">
        <v>211</v>
      </c>
      <c r="E1110" s="69">
        <v>44700</v>
      </c>
    </row>
    <row r="1111" spans="1:5" x14ac:dyDescent="0.35">
      <c r="A1111" s="51">
        <v>1</v>
      </c>
      <c r="B1111" s="52" t="s">
        <v>2404</v>
      </c>
      <c r="C1111" s="48" t="s">
        <v>1975</v>
      </c>
      <c r="D1111" s="52" t="s">
        <v>211</v>
      </c>
      <c r="E1111" s="69">
        <v>44700</v>
      </c>
    </row>
    <row r="1112" spans="1:5" x14ac:dyDescent="0.35">
      <c r="A1112" s="51">
        <v>1</v>
      </c>
      <c r="B1112" s="52" t="s">
        <v>2405</v>
      </c>
      <c r="C1112" s="48" t="s">
        <v>1975</v>
      </c>
      <c r="D1112" s="52" t="s">
        <v>211</v>
      </c>
      <c r="E1112" s="69">
        <v>44700</v>
      </c>
    </row>
    <row r="1113" spans="1:5" x14ac:dyDescent="0.35">
      <c r="A1113" s="51">
        <v>1</v>
      </c>
      <c r="B1113" s="52" t="s">
        <v>2101</v>
      </c>
      <c r="C1113" s="72" t="s">
        <v>1976</v>
      </c>
      <c r="D1113" s="52" t="s">
        <v>211</v>
      </c>
      <c r="E1113" s="69">
        <v>44700</v>
      </c>
    </row>
    <row r="1114" spans="1:5" x14ac:dyDescent="0.35">
      <c r="A1114" s="51">
        <v>1</v>
      </c>
      <c r="B1114" s="52" t="s">
        <v>2124</v>
      </c>
      <c r="C1114" s="72" t="s">
        <v>1976</v>
      </c>
      <c r="D1114" s="52" t="s">
        <v>211</v>
      </c>
      <c r="E1114" s="69">
        <v>44700</v>
      </c>
    </row>
    <row r="1115" spans="1:5" x14ac:dyDescent="0.35">
      <c r="A1115" s="51">
        <v>1</v>
      </c>
      <c r="B1115" s="52" t="s">
        <v>2224</v>
      </c>
      <c r="C1115" s="72" t="s">
        <v>1976</v>
      </c>
      <c r="D1115" s="52" t="s">
        <v>211</v>
      </c>
      <c r="E1115" s="69">
        <v>44700</v>
      </c>
    </row>
    <row r="1116" spans="1:5" x14ac:dyDescent="0.35">
      <c r="A1116" s="51">
        <v>1</v>
      </c>
      <c r="B1116" s="52" t="s">
        <v>2217</v>
      </c>
      <c r="C1116" s="72" t="s">
        <v>1976</v>
      </c>
      <c r="D1116" s="52" t="s">
        <v>211</v>
      </c>
      <c r="E1116" s="69">
        <v>44700</v>
      </c>
    </row>
    <row r="1117" spans="1:5" x14ac:dyDescent="0.35">
      <c r="A1117" s="51">
        <v>1</v>
      </c>
      <c r="B1117" s="52" t="s">
        <v>2244</v>
      </c>
      <c r="C1117" s="72" t="s">
        <v>1976</v>
      </c>
      <c r="D1117" s="52" t="s">
        <v>211</v>
      </c>
      <c r="E1117" s="69">
        <v>44700</v>
      </c>
    </row>
    <row r="1118" spans="1:5" x14ac:dyDescent="0.35">
      <c r="A1118" s="51">
        <v>1</v>
      </c>
      <c r="B1118" s="52" t="s">
        <v>2389</v>
      </c>
      <c r="C1118" s="72" t="s">
        <v>1976</v>
      </c>
      <c r="D1118" s="52" t="s">
        <v>211</v>
      </c>
      <c r="E1118" s="69">
        <v>44700</v>
      </c>
    </row>
    <row r="1119" spans="1:5" x14ac:dyDescent="0.35">
      <c r="A1119" s="51">
        <v>1</v>
      </c>
      <c r="B1119" s="52" t="s">
        <v>2404</v>
      </c>
      <c r="C1119" s="72" t="s">
        <v>1976</v>
      </c>
      <c r="D1119" s="52" t="s">
        <v>211</v>
      </c>
      <c r="E1119" s="69">
        <v>44700</v>
      </c>
    </row>
    <row r="1120" spans="1:5" x14ac:dyDescent="0.35">
      <c r="A1120" s="51">
        <v>1</v>
      </c>
      <c r="B1120" s="52" t="s">
        <v>2405</v>
      </c>
      <c r="C1120" s="72" t="s">
        <v>1976</v>
      </c>
      <c r="D1120" s="52" t="s">
        <v>211</v>
      </c>
      <c r="E1120" s="69">
        <v>44700</v>
      </c>
    </row>
    <row r="1121" spans="1:5" x14ac:dyDescent="0.35">
      <c r="A1121" s="51">
        <v>1</v>
      </c>
      <c r="B1121" s="52" t="s">
        <v>2400</v>
      </c>
      <c r="C1121" s="72" t="s">
        <v>1970</v>
      </c>
      <c r="D1121" s="52" t="s">
        <v>211</v>
      </c>
      <c r="E1121" s="69">
        <v>44700</v>
      </c>
    </row>
    <row r="1122" spans="1:5" x14ac:dyDescent="0.35">
      <c r="A1122" s="51">
        <v>1</v>
      </c>
      <c r="B1122" s="52" t="s">
        <v>2411</v>
      </c>
      <c r="C1122" s="72" t="s">
        <v>1968</v>
      </c>
      <c r="D1122" s="52" t="s">
        <v>216</v>
      </c>
      <c r="E1122" s="69">
        <v>44713</v>
      </c>
    </row>
    <row r="1123" spans="1:5" x14ac:dyDescent="0.35">
      <c r="A1123" s="51">
        <v>1</v>
      </c>
      <c r="B1123" s="52" t="s">
        <v>2351</v>
      </c>
      <c r="C1123" s="72" t="s">
        <v>1976</v>
      </c>
      <c r="D1123" s="52" t="s">
        <v>216</v>
      </c>
      <c r="E1123" s="69">
        <v>44713</v>
      </c>
    </row>
    <row r="1124" spans="1:5" x14ac:dyDescent="0.35">
      <c r="A1124" s="51">
        <v>1</v>
      </c>
      <c r="B1124" s="52" t="s">
        <v>2217</v>
      </c>
      <c r="C1124" s="72" t="s">
        <v>1976</v>
      </c>
      <c r="D1124" s="52" t="s">
        <v>216</v>
      </c>
      <c r="E1124" s="69">
        <v>44713</v>
      </c>
    </row>
    <row r="1125" spans="1:5" x14ac:dyDescent="0.35">
      <c r="A1125" s="51">
        <v>1</v>
      </c>
      <c r="B1125" s="52" t="s">
        <v>2244</v>
      </c>
      <c r="C1125" s="72" t="s">
        <v>1976</v>
      </c>
      <c r="D1125" s="52" t="s">
        <v>216</v>
      </c>
      <c r="E1125" s="69">
        <v>44713</v>
      </c>
    </row>
    <row r="1126" spans="1:5" x14ac:dyDescent="0.35">
      <c r="A1126" s="51">
        <v>1</v>
      </c>
      <c r="B1126" s="52" t="s">
        <v>2326</v>
      </c>
      <c r="C1126" s="72" t="s">
        <v>1976</v>
      </c>
      <c r="D1126" s="52" t="s">
        <v>216</v>
      </c>
      <c r="E1126" s="69">
        <v>44713</v>
      </c>
    </row>
    <row r="1127" spans="1:5" x14ac:dyDescent="0.35">
      <c r="A1127" s="51">
        <v>1</v>
      </c>
      <c r="B1127" s="52" t="s">
        <v>2356</v>
      </c>
      <c r="C1127" s="72" t="s">
        <v>1976</v>
      </c>
      <c r="D1127" s="52" t="s">
        <v>216</v>
      </c>
      <c r="E1127" s="69">
        <v>44713</v>
      </c>
    </row>
    <row r="1128" spans="1:5" x14ac:dyDescent="0.35">
      <c r="A1128" s="51">
        <v>1</v>
      </c>
      <c r="B1128" s="52" t="s">
        <v>2358</v>
      </c>
      <c r="C1128" s="72" t="s">
        <v>1976</v>
      </c>
      <c r="D1128" s="52" t="s">
        <v>216</v>
      </c>
      <c r="E1128" s="69">
        <v>44713</v>
      </c>
    </row>
    <row r="1129" spans="1:5" x14ac:dyDescent="0.35">
      <c r="A1129" s="51">
        <v>1</v>
      </c>
      <c r="B1129" s="52" t="s">
        <v>2359</v>
      </c>
      <c r="C1129" s="72" t="s">
        <v>1976</v>
      </c>
      <c r="D1129" s="52" t="s">
        <v>216</v>
      </c>
      <c r="E1129" s="69">
        <v>44713</v>
      </c>
    </row>
    <row r="1130" spans="1:5" x14ac:dyDescent="0.35">
      <c r="A1130" s="51">
        <v>1</v>
      </c>
      <c r="B1130" s="52" t="s">
        <v>2360</v>
      </c>
      <c r="C1130" s="72" t="s">
        <v>1976</v>
      </c>
      <c r="D1130" s="52" t="s">
        <v>216</v>
      </c>
      <c r="E1130" s="69">
        <v>44713</v>
      </c>
    </row>
    <row r="1131" spans="1:5" x14ac:dyDescent="0.35">
      <c r="A1131" s="51">
        <v>1</v>
      </c>
      <c r="B1131" s="52" t="s">
        <v>2364</v>
      </c>
      <c r="C1131" s="72" t="s">
        <v>1976</v>
      </c>
      <c r="D1131" s="52" t="s">
        <v>216</v>
      </c>
      <c r="E1131" s="69">
        <v>44713</v>
      </c>
    </row>
    <row r="1132" spans="1:5" x14ac:dyDescent="0.35">
      <c r="A1132" s="51">
        <v>1</v>
      </c>
      <c r="B1132" s="52" t="s">
        <v>2379</v>
      </c>
      <c r="C1132" s="72" t="s">
        <v>1976</v>
      </c>
      <c r="D1132" s="52" t="s">
        <v>216</v>
      </c>
      <c r="E1132" s="69">
        <v>44713</v>
      </c>
    </row>
    <row r="1133" spans="1:5" x14ac:dyDescent="0.35">
      <c r="A1133" s="51">
        <v>1</v>
      </c>
      <c r="B1133" s="52" t="s">
        <v>2402</v>
      </c>
      <c r="C1133" s="72" t="s">
        <v>1976</v>
      </c>
      <c r="D1133" s="52" t="s">
        <v>216</v>
      </c>
      <c r="E1133" s="69">
        <v>44713</v>
      </c>
    </row>
    <row r="1134" spans="1:5" x14ac:dyDescent="0.35">
      <c r="A1134" s="51">
        <v>1</v>
      </c>
      <c r="B1134" s="52" t="s">
        <v>2326</v>
      </c>
      <c r="C1134" s="48" t="s">
        <v>1975</v>
      </c>
      <c r="D1134" s="52" t="s">
        <v>216</v>
      </c>
      <c r="E1134" s="69">
        <v>44713</v>
      </c>
    </row>
    <row r="1135" spans="1:5" x14ac:dyDescent="0.35">
      <c r="A1135" s="51">
        <v>1</v>
      </c>
      <c r="B1135" s="52" t="s">
        <v>2343</v>
      </c>
      <c r="C1135" s="72" t="s">
        <v>1970</v>
      </c>
      <c r="D1135" s="52" t="s">
        <v>218</v>
      </c>
      <c r="E1135" s="69">
        <v>44728</v>
      </c>
    </row>
    <row r="1136" spans="1:5" x14ac:dyDescent="0.35">
      <c r="A1136" s="51">
        <v>1</v>
      </c>
      <c r="B1136" s="52" t="s">
        <v>2372</v>
      </c>
      <c r="C1136" s="72" t="s">
        <v>1970</v>
      </c>
      <c r="D1136" s="52" t="s">
        <v>218</v>
      </c>
      <c r="E1136" s="69">
        <v>44728</v>
      </c>
    </row>
    <row r="1137" spans="1:5" x14ac:dyDescent="0.35">
      <c r="A1137" s="51">
        <v>1</v>
      </c>
      <c r="B1137" s="52" t="s">
        <v>2380</v>
      </c>
      <c r="C1137" s="72" t="s">
        <v>1970</v>
      </c>
      <c r="D1137" s="52" t="s">
        <v>218</v>
      </c>
      <c r="E1137" s="69">
        <v>44728</v>
      </c>
    </row>
    <row r="1138" spans="1:5" x14ac:dyDescent="0.35">
      <c r="A1138" s="51">
        <v>1</v>
      </c>
      <c r="B1138" s="52" t="s">
        <v>2401</v>
      </c>
      <c r="C1138" s="72" t="s">
        <v>1970</v>
      </c>
      <c r="D1138" s="52" t="s">
        <v>218</v>
      </c>
      <c r="E1138" s="69">
        <v>44728</v>
      </c>
    </row>
    <row r="1139" spans="1:5" x14ac:dyDescent="0.35">
      <c r="A1139" s="51">
        <v>1</v>
      </c>
      <c r="B1139" s="52" t="s">
        <v>2403</v>
      </c>
      <c r="C1139" s="72" t="s">
        <v>1970</v>
      </c>
      <c r="D1139" s="52" t="s">
        <v>218</v>
      </c>
      <c r="E1139" s="69">
        <v>44728</v>
      </c>
    </row>
    <row r="1140" spans="1:5" x14ac:dyDescent="0.35">
      <c r="A1140" s="51">
        <v>1</v>
      </c>
      <c r="B1140" s="52" t="s">
        <v>2404</v>
      </c>
      <c r="C1140" s="72" t="s">
        <v>1970</v>
      </c>
      <c r="D1140" s="52" t="s">
        <v>218</v>
      </c>
      <c r="E1140" s="69">
        <v>44728</v>
      </c>
    </row>
    <row r="1141" spans="1:5" x14ac:dyDescent="0.35">
      <c r="A1141" s="51">
        <v>1</v>
      </c>
      <c r="B1141" s="52" t="s">
        <v>2405</v>
      </c>
      <c r="C1141" s="72" t="s">
        <v>1970</v>
      </c>
      <c r="D1141" s="52" t="s">
        <v>218</v>
      </c>
      <c r="E1141" s="69">
        <v>44728</v>
      </c>
    </row>
    <row r="1142" spans="1:5" x14ac:dyDescent="0.35">
      <c r="A1142" s="51">
        <v>1</v>
      </c>
      <c r="B1142" s="52" t="s">
        <v>2409</v>
      </c>
      <c r="C1142" s="72" t="s">
        <v>1970</v>
      </c>
      <c r="D1142" s="52" t="s">
        <v>218</v>
      </c>
      <c r="E1142" s="69">
        <v>44728</v>
      </c>
    </row>
    <row r="1143" spans="1:5" x14ac:dyDescent="0.35">
      <c r="A1143" s="51">
        <v>1</v>
      </c>
      <c r="B1143" s="52" t="s">
        <v>2410</v>
      </c>
      <c r="C1143" s="72" t="s">
        <v>1970</v>
      </c>
      <c r="D1143" s="52" t="s">
        <v>218</v>
      </c>
      <c r="E1143" s="69">
        <v>44728</v>
      </c>
    </row>
    <row r="1144" spans="1:5" x14ac:dyDescent="0.35">
      <c r="A1144" s="51">
        <v>1</v>
      </c>
      <c r="B1144" s="52" t="s">
        <v>2412</v>
      </c>
      <c r="C1144" s="72" t="s">
        <v>1968</v>
      </c>
      <c r="D1144" s="52" t="s">
        <v>218</v>
      </c>
      <c r="E1144" s="69">
        <v>44728</v>
      </c>
    </row>
    <row r="1145" spans="1:5" x14ac:dyDescent="0.35">
      <c r="A1145" s="51">
        <v>1</v>
      </c>
      <c r="B1145" s="52" t="s">
        <v>2413</v>
      </c>
      <c r="C1145" s="72" t="s">
        <v>1968</v>
      </c>
      <c r="D1145" s="52" t="s">
        <v>218</v>
      </c>
      <c r="E1145" s="69">
        <v>44728</v>
      </c>
    </row>
    <row r="1146" spans="1:5" x14ac:dyDescent="0.35">
      <c r="A1146" s="51">
        <v>1</v>
      </c>
      <c r="B1146" s="52" t="s">
        <v>2354</v>
      </c>
      <c r="C1146" s="48" t="s">
        <v>1974</v>
      </c>
      <c r="D1146" s="52" t="s">
        <v>218</v>
      </c>
      <c r="E1146" s="69">
        <v>44728</v>
      </c>
    </row>
    <row r="1147" spans="1:5" x14ac:dyDescent="0.35">
      <c r="A1147" s="51">
        <v>1</v>
      </c>
      <c r="B1147" s="52" t="s">
        <v>2325</v>
      </c>
      <c r="C1147" s="72" t="s">
        <v>1976</v>
      </c>
      <c r="D1147" s="52" t="s">
        <v>218</v>
      </c>
      <c r="E1147" s="69">
        <v>44728</v>
      </c>
    </row>
    <row r="1148" spans="1:5" x14ac:dyDescent="0.35">
      <c r="A1148" s="51">
        <v>1</v>
      </c>
      <c r="B1148" s="52" t="s">
        <v>2392</v>
      </c>
      <c r="C1148" s="72" t="s">
        <v>1976</v>
      </c>
      <c r="D1148" s="52" t="s">
        <v>218</v>
      </c>
      <c r="E1148" s="69">
        <v>44728</v>
      </c>
    </row>
    <row r="1149" spans="1:5" x14ac:dyDescent="0.35">
      <c r="A1149" s="51">
        <v>1</v>
      </c>
      <c r="B1149" s="52" t="s">
        <v>2394</v>
      </c>
      <c r="C1149" s="72" t="s">
        <v>1976</v>
      </c>
      <c r="D1149" s="52" t="s">
        <v>218</v>
      </c>
      <c r="E1149" s="69">
        <v>44728</v>
      </c>
    </row>
    <row r="1150" spans="1:5" x14ac:dyDescent="0.35">
      <c r="A1150" s="51">
        <v>1</v>
      </c>
      <c r="B1150" s="52" t="s">
        <v>2395</v>
      </c>
      <c r="C1150" s="72" t="s">
        <v>1976</v>
      </c>
      <c r="D1150" s="52" t="s">
        <v>218</v>
      </c>
      <c r="E1150" s="69">
        <v>44728</v>
      </c>
    </row>
    <row r="1151" spans="1:5" x14ac:dyDescent="0.35">
      <c r="A1151" s="51">
        <v>1</v>
      </c>
      <c r="B1151" s="52" t="s">
        <v>2278</v>
      </c>
      <c r="C1151" s="72" t="s">
        <v>1976</v>
      </c>
      <c r="D1151" s="52" t="s">
        <v>218</v>
      </c>
      <c r="E1151" s="69">
        <v>44728</v>
      </c>
    </row>
    <row r="1152" spans="1:5" x14ac:dyDescent="0.35">
      <c r="A1152" s="51">
        <v>1</v>
      </c>
      <c r="B1152" s="52" t="s">
        <v>2414</v>
      </c>
      <c r="C1152" s="72" t="s">
        <v>1968</v>
      </c>
      <c r="D1152" s="52" t="s">
        <v>223</v>
      </c>
      <c r="E1152" s="69">
        <v>44742</v>
      </c>
    </row>
    <row r="1153" spans="1:5" x14ac:dyDescent="0.35">
      <c r="A1153" s="51">
        <v>1</v>
      </c>
      <c r="B1153" s="52" t="s">
        <v>2415</v>
      </c>
      <c r="C1153" s="72" t="s">
        <v>1968</v>
      </c>
      <c r="D1153" s="52" t="s">
        <v>223</v>
      </c>
      <c r="E1153" s="69">
        <v>44742</v>
      </c>
    </row>
    <row r="1154" spans="1:5" x14ac:dyDescent="0.35">
      <c r="A1154" s="51">
        <v>1</v>
      </c>
      <c r="B1154" s="52" t="s">
        <v>2416</v>
      </c>
      <c r="C1154" s="72" t="s">
        <v>1968</v>
      </c>
      <c r="D1154" s="52" t="s">
        <v>223</v>
      </c>
      <c r="E1154" s="69">
        <v>44742</v>
      </c>
    </row>
    <row r="1155" spans="1:5" x14ac:dyDescent="0.35">
      <c r="A1155" s="51">
        <v>1</v>
      </c>
      <c r="B1155" s="72" t="s">
        <v>2390</v>
      </c>
      <c r="C1155" s="72" t="s">
        <v>1976</v>
      </c>
      <c r="D1155" s="52" t="s">
        <v>223</v>
      </c>
      <c r="E1155" s="69">
        <v>44742</v>
      </c>
    </row>
    <row r="1156" spans="1:5" x14ac:dyDescent="0.35">
      <c r="A1156" s="51">
        <v>1</v>
      </c>
      <c r="B1156" s="52" t="s">
        <v>2267</v>
      </c>
      <c r="C1156" s="72" t="s">
        <v>1976</v>
      </c>
      <c r="D1156" s="52" t="s">
        <v>223</v>
      </c>
      <c r="E1156" s="69">
        <v>44742</v>
      </c>
    </row>
    <row r="1157" spans="1:5" x14ac:dyDescent="0.35">
      <c r="A1157" s="51">
        <v>1</v>
      </c>
      <c r="B1157" s="52" t="s">
        <v>2396</v>
      </c>
      <c r="C1157" s="72" t="s">
        <v>1976</v>
      </c>
      <c r="D1157" s="52" t="s">
        <v>223</v>
      </c>
      <c r="E1157" s="69">
        <v>44742</v>
      </c>
    </row>
    <row r="1158" spans="1:5" x14ac:dyDescent="0.35">
      <c r="A1158" s="51">
        <v>1</v>
      </c>
      <c r="B1158" s="52" t="s">
        <v>2397</v>
      </c>
      <c r="C1158" s="72" t="s">
        <v>1976</v>
      </c>
      <c r="D1158" s="52" t="s">
        <v>223</v>
      </c>
      <c r="E1158" s="69">
        <v>44742</v>
      </c>
    </row>
    <row r="1159" spans="1:5" x14ac:dyDescent="0.35">
      <c r="A1159" s="51">
        <v>1</v>
      </c>
      <c r="B1159" s="52" t="s">
        <v>2417</v>
      </c>
      <c r="C1159" s="72" t="s">
        <v>1968</v>
      </c>
      <c r="D1159" s="52" t="s">
        <v>227</v>
      </c>
      <c r="E1159" s="69">
        <v>44756</v>
      </c>
    </row>
    <row r="1160" spans="1:5" x14ac:dyDescent="0.35">
      <c r="A1160" s="51">
        <v>1</v>
      </c>
      <c r="B1160" s="52" t="s">
        <v>2244</v>
      </c>
      <c r="C1160" s="72" t="s">
        <v>1976</v>
      </c>
      <c r="D1160" s="52" t="s">
        <v>227</v>
      </c>
      <c r="E1160" s="69">
        <v>44756</v>
      </c>
    </row>
    <row r="1161" spans="1:5" x14ac:dyDescent="0.35">
      <c r="A1161" s="51">
        <v>1</v>
      </c>
      <c r="B1161" s="52" t="s">
        <v>2413</v>
      </c>
      <c r="C1161" s="72" t="s">
        <v>1976</v>
      </c>
      <c r="D1161" s="52" t="s">
        <v>227</v>
      </c>
      <c r="E1161" s="69">
        <v>44756</v>
      </c>
    </row>
    <row r="1162" spans="1:5" x14ac:dyDescent="0.35">
      <c r="A1162" s="51">
        <v>1</v>
      </c>
      <c r="B1162" s="52" t="s">
        <v>2416</v>
      </c>
      <c r="C1162" s="72" t="s">
        <v>1976</v>
      </c>
      <c r="D1162" s="52" t="s">
        <v>227</v>
      </c>
      <c r="E1162" s="69">
        <v>44756</v>
      </c>
    </row>
    <row r="1163" spans="1:5" x14ac:dyDescent="0.35">
      <c r="A1163" s="51">
        <v>1</v>
      </c>
      <c r="B1163" s="52" t="s">
        <v>2411</v>
      </c>
      <c r="C1163" s="72" t="s">
        <v>1976</v>
      </c>
      <c r="D1163" s="52" t="s">
        <v>227</v>
      </c>
      <c r="E1163" s="69">
        <v>44756</v>
      </c>
    </row>
    <row r="1164" spans="1:5" x14ac:dyDescent="0.35">
      <c r="A1164" s="51">
        <v>1</v>
      </c>
      <c r="B1164" s="52" t="s">
        <v>2244</v>
      </c>
      <c r="C1164" s="72" t="s">
        <v>1970</v>
      </c>
      <c r="D1164" s="52" t="s">
        <v>230</v>
      </c>
      <c r="E1164" s="69">
        <v>44770</v>
      </c>
    </row>
    <row r="1165" spans="1:5" x14ac:dyDescent="0.35">
      <c r="A1165" s="51">
        <v>1</v>
      </c>
      <c r="B1165" s="52" t="s">
        <v>2411</v>
      </c>
      <c r="C1165" s="72" t="s">
        <v>1970</v>
      </c>
      <c r="D1165" s="52" t="s">
        <v>230</v>
      </c>
      <c r="E1165" s="69">
        <v>44770</v>
      </c>
    </row>
    <row r="1166" spans="1:5" x14ac:dyDescent="0.35">
      <c r="A1166" s="51">
        <v>1</v>
      </c>
      <c r="B1166" s="52" t="s">
        <v>2413</v>
      </c>
      <c r="C1166" s="72" t="s">
        <v>1970</v>
      </c>
      <c r="D1166" s="52" t="s">
        <v>230</v>
      </c>
      <c r="E1166" s="69">
        <v>44770</v>
      </c>
    </row>
    <row r="1167" spans="1:5" x14ac:dyDescent="0.35">
      <c r="A1167" s="51">
        <v>1</v>
      </c>
      <c r="B1167" s="52" t="s">
        <v>2414</v>
      </c>
      <c r="C1167" s="72" t="s">
        <v>1970</v>
      </c>
      <c r="D1167" s="52" t="s">
        <v>230</v>
      </c>
      <c r="E1167" s="69">
        <v>44770</v>
      </c>
    </row>
    <row r="1168" spans="1:5" x14ac:dyDescent="0.35">
      <c r="A1168" s="51">
        <v>1</v>
      </c>
      <c r="B1168" s="52" t="s">
        <v>2416</v>
      </c>
      <c r="C1168" s="72" t="s">
        <v>1970</v>
      </c>
      <c r="D1168" s="52" t="s">
        <v>230</v>
      </c>
      <c r="E1168" s="69">
        <v>44770</v>
      </c>
    </row>
    <row r="1169" spans="1:5" x14ac:dyDescent="0.35">
      <c r="A1169" s="51">
        <v>1</v>
      </c>
      <c r="B1169" s="52" t="s">
        <v>2417</v>
      </c>
      <c r="C1169" s="72" t="s">
        <v>1976</v>
      </c>
      <c r="D1169" s="52" t="s">
        <v>230</v>
      </c>
      <c r="E1169" s="69">
        <v>44770</v>
      </c>
    </row>
    <row r="1170" spans="1:5" x14ac:dyDescent="0.35">
      <c r="A1170" s="51">
        <v>1</v>
      </c>
      <c r="B1170" s="52" t="s">
        <v>2395</v>
      </c>
      <c r="C1170" s="72" t="s">
        <v>1976</v>
      </c>
      <c r="D1170" s="52" t="s">
        <v>230</v>
      </c>
      <c r="E1170" s="69">
        <v>44770</v>
      </c>
    </row>
    <row r="1171" spans="1:5" x14ac:dyDescent="0.35">
      <c r="A1171" s="51">
        <v>1</v>
      </c>
      <c r="B1171" s="52" t="s">
        <v>2396</v>
      </c>
      <c r="C1171" s="72" t="s">
        <v>1976</v>
      </c>
      <c r="D1171" s="52" t="s">
        <v>230</v>
      </c>
      <c r="E1171" s="69">
        <v>44770</v>
      </c>
    </row>
    <row r="1172" spans="1:5" x14ac:dyDescent="0.35">
      <c r="A1172" s="51">
        <v>1</v>
      </c>
      <c r="B1172" s="52" t="s">
        <v>2267</v>
      </c>
      <c r="C1172" s="72" t="s">
        <v>1976</v>
      </c>
      <c r="D1172" s="52" t="s">
        <v>230</v>
      </c>
      <c r="E1172" s="69">
        <v>44770</v>
      </c>
    </row>
    <row r="1173" spans="1:5" x14ac:dyDescent="0.35">
      <c r="A1173" s="51">
        <v>1</v>
      </c>
      <c r="B1173" s="52" t="s">
        <v>2417</v>
      </c>
      <c r="C1173" s="48" t="s">
        <v>1975</v>
      </c>
      <c r="D1173" s="52" t="s">
        <v>230</v>
      </c>
      <c r="E1173" s="69">
        <v>44770</v>
      </c>
    </row>
    <row r="1174" spans="1:5" x14ac:dyDescent="0.35">
      <c r="A1174" s="51">
        <v>1</v>
      </c>
      <c r="B1174" s="52" t="s">
        <v>2418</v>
      </c>
      <c r="C1174" s="72" t="s">
        <v>1968</v>
      </c>
      <c r="D1174" s="52" t="s">
        <v>230</v>
      </c>
      <c r="E1174" s="69">
        <v>44770</v>
      </c>
    </row>
    <row r="1175" spans="1:5" hidden="1" x14ac:dyDescent="0.35">
      <c r="A1175" s="51">
        <v>1</v>
      </c>
      <c r="B1175" s="52" t="s">
        <v>1522</v>
      </c>
      <c r="C1175" s="72" t="s">
        <v>1969</v>
      </c>
      <c r="D1175" s="52" t="s">
        <v>230</v>
      </c>
      <c r="E1175" s="69">
        <v>44770</v>
      </c>
    </row>
    <row r="1176" spans="1:5" x14ac:dyDescent="0.35">
      <c r="A1176" s="51">
        <v>1</v>
      </c>
      <c r="B1176" s="52" t="s">
        <v>2419</v>
      </c>
      <c r="C1176" s="72" t="s">
        <v>1968</v>
      </c>
      <c r="D1176" s="52" t="s">
        <v>234</v>
      </c>
      <c r="E1176" s="69">
        <v>44791</v>
      </c>
    </row>
    <row r="1177" spans="1:5" x14ac:dyDescent="0.35">
      <c r="A1177" s="51">
        <v>1</v>
      </c>
      <c r="B1177" s="52" t="s">
        <v>2420</v>
      </c>
      <c r="C1177" s="72" t="s">
        <v>1968</v>
      </c>
      <c r="D1177" s="52" t="s">
        <v>234</v>
      </c>
      <c r="E1177" s="69">
        <v>44791</v>
      </c>
    </row>
    <row r="1178" spans="1:5" x14ac:dyDescent="0.35">
      <c r="A1178" s="51">
        <v>1</v>
      </c>
      <c r="B1178" s="52" t="s">
        <v>2421</v>
      </c>
      <c r="C1178" s="72" t="s">
        <v>1968</v>
      </c>
      <c r="D1178" s="52" t="s">
        <v>234</v>
      </c>
      <c r="E1178" s="69">
        <v>44791</v>
      </c>
    </row>
    <row r="1179" spans="1:5" x14ac:dyDescent="0.35">
      <c r="A1179" s="51">
        <v>1</v>
      </c>
      <c r="B1179" s="52" t="s">
        <v>2422</v>
      </c>
      <c r="C1179" s="72" t="s">
        <v>1968</v>
      </c>
      <c r="D1179" s="52" t="s">
        <v>234</v>
      </c>
      <c r="E1179" s="69">
        <v>44791</v>
      </c>
    </row>
    <row r="1180" spans="1:5" x14ac:dyDescent="0.35">
      <c r="A1180" s="51">
        <v>1</v>
      </c>
      <c r="B1180" s="52" t="s">
        <v>2423</v>
      </c>
      <c r="C1180" s="72" t="s">
        <v>1968</v>
      </c>
      <c r="D1180" s="52" t="s">
        <v>234</v>
      </c>
      <c r="E1180" s="69">
        <v>44791</v>
      </c>
    </row>
    <row r="1181" spans="1:5" x14ac:dyDescent="0.35">
      <c r="A1181" s="51">
        <v>1</v>
      </c>
      <c r="B1181" s="52" t="s">
        <v>2424</v>
      </c>
      <c r="C1181" s="72" t="s">
        <v>1968</v>
      </c>
      <c r="D1181" s="52" t="s">
        <v>234</v>
      </c>
      <c r="E1181" s="69">
        <v>44791</v>
      </c>
    </row>
    <row r="1182" spans="1:5" x14ac:dyDescent="0.35">
      <c r="A1182" s="51">
        <v>1</v>
      </c>
      <c r="B1182" s="52" t="s">
        <v>2425</v>
      </c>
      <c r="C1182" s="72" t="s">
        <v>1968</v>
      </c>
      <c r="D1182" s="52" t="s">
        <v>234</v>
      </c>
      <c r="E1182" s="69">
        <v>44791</v>
      </c>
    </row>
    <row r="1183" spans="1:5" x14ac:dyDescent="0.35">
      <c r="A1183" s="51">
        <v>1</v>
      </c>
      <c r="B1183" s="52" t="s">
        <v>2426</v>
      </c>
      <c r="C1183" s="72" t="s">
        <v>1968</v>
      </c>
      <c r="D1183" s="52" t="s">
        <v>234</v>
      </c>
      <c r="E1183" s="69">
        <v>44791</v>
      </c>
    </row>
    <row r="1184" spans="1:5" x14ac:dyDescent="0.35">
      <c r="A1184" s="51">
        <v>1</v>
      </c>
      <c r="B1184" s="52" t="s">
        <v>2277</v>
      </c>
      <c r="C1184" s="72" t="s">
        <v>1970</v>
      </c>
      <c r="D1184" s="52" t="s">
        <v>234</v>
      </c>
      <c r="E1184" s="69">
        <v>44791</v>
      </c>
    </row>
    <row r="1185" spans="1:5" x14ac:dyDescent="0.35">
      <c r="A1185" s="51">
        <v>1</v>
      </c>
      <c r="B1185" s="52" t="s">
        <v>2279</v>
      </c>
      <c r="C1185" s="72" t="s">
        <v>1970</v>
      </c>
      <c r="D1185" s="52" t="s">
        <v>234</v>
      </c>
      <c r="E1185" s="69">
        <v>44791</v>
      </c>
    </row>
    <row r="1186" spans="1:5" x14ac:dyDescent="0.35">
      <c r="A1186" s="51">
        <v>1</v>
      </c>
      <c r="B1186" s="52" t="s">
        <v>2312</v>
      </c>
      <c r="C1186" s="72" t="s">
        <v>1970</v>
      </c>
      <c r="D1186" s="52" t="s">
        <v>234</v>
      </c>
      <c r="E1186" s="69">
        <v>44791</v>
      </c>
    </row>
    <row r="1187" spans="1:5" x14ac:dyDescent="0.35">
      <c r="A1187" s="51">
        <v>1</v>
      </c>
      <c r="B1187" s="52" t="s">
        <v>2313</v>
      </c>
      <c r="C1187" s="72" t="s">
        <v>1970</v>
      </c>
      <c r="D1187" s="52" t="s">
        <v>234</v>
      </c>
      <c r="E1187" s="69">
        <v>44791</v>
      </c>
    </row>
    <row r="1188" spans="1:5" x14ac:dyDescent="0.35">
      <c r="A1188" s="51">
        <v>1</v>
      </c>
      <c r="B1188" s="52" t="s">
        <v>2417</v>
      </c>
      <c r="C1188" s="72" t="s">
        <v>1970</v>
      </c>
      <c r="D1188" s="52" t="s">
        <v>234</v>
      </c>
      <c r="E1188" s="69">
        <v>44791</v>
      </c>
    </row>
    <row r="1189" spans="1:5" x14ac:dyDescent="0.35">
      <c r="A1189" s="51">
        <v>1</v>
      </c>
      <c r="B1189" s="52" t="s">
        <v>2427</v>
      </c>
      <c r="C1189" s="72" t="s">
        <v>1976</v>
      </c>
      <c r="D1189" s="52" t="s">
        <v>234</v>
      </c>
      <c r="E1189" s="69">
        <v>44791</v>
      </c>
    </row>
    <row r="1190" spans="1:5" x14ac:dyDescent="0.35">
      <c r="A1190" s="51">
        <v>1</v>
      </c>
      <c r="B1190" s="52" t="s">
        <v>2220</v>
      </c>
      <c r="C1190" s="72" t="s">
        <v>1976</v>
      </c>
      <c r="D1190" s="52" t="s">
        <v>234</v>
      </c>
      <c r="E1190" s="69">
        <v>44791</v>
      </c>
    </row>
    <row r="1191" spans="1:5" x14ac:dyDescent="0.35">
      <c r="A1191" s="51">
        <v>1</v>
      </c>
      <c r="B1191" s="52" t="s">
        <v>2277</v>
      </c>
      <c r="C1191" s="72" t="s">
        <v>1976</v>
      </c>
      <c r="D1191" s="52" t="s">
        <v>234</v>
      </c>
      <c r="E1191" s="69">
        <v>44791</v>
      </c>
    </row>
    <row r="1192" spans="1:5" x14ac:dyDescent="0.35">
      <c r="A1192" s="51">
        <v>1</v>
      </c>
      <c r="B1192" s="52" t="s">
        <v>2279</v>
      </c>
      <c r="C1192" s="72" t="s">
        <v>1976</v>
      </c>
      <c r="D1192" s="52" t="s">
        <v>234</v>
      </c>
      <c r="E1192" s="69">
        <v>44791</v>
      </c>
    </row>
    <row r="1193" spans="1:5" x14ac:dyDescent="0.35">
      <c r="A1193" s="51">
        <v>1</v>
      </c>
      <c r="B1193" s="52" t="s">
        <v>2312</v>
      </c>
      <c r="C1193" s="72" t="s">
        <v>1976</v>
      </c>
      <c r="D1193" s="52" t="s">
        <v>234</v>
      </c>
      <c r="E1193" s="69">
        <v>44791</v>
      </c>
    </row>
    <row r="1194" spans="1:5" x14ac:dyDescent="0.35">
      <c r="A1194" s="51">
        <v>1</v>
      </c>
      <c r="B1194" s="52" t="s">
        <v>2313</v>
      </c>
      <c r="C1194" s="72" t="s">
        <v>1976</v>
      </c>
      <c r="D1194" s="52" t="s">
        <v>234</v>
      </c>
      <c r="E1194" s="69">
        <v>44791</v>
      </c>
    </row>
    <row r="1195" spans="1:5" x14ac:dyDescent="0.35">
      <c r="A1195" s="51">
        <v>1</v>
      </c>
      <c r="B1195" s="52" t="s">
        <v>2417</v>
      </c>
      <c r="C1195" s="72" t="s">
        <v>1976</v>
      </c>
      <c r="D1195" s="52" t="s">
        <v>234</v>
      </c>
      <c r="E1195" s="69">
        <v>44791</v>
      </c>
    </row>
    <row r="1196" spans="1:5" x14ac:dyDescent="0.35">
      <c r="A1196" s="51">
        <v>1</v>
      </c>
      <c r="B1196" s="52" t="s">
        <v>2398</v>
      </c>
      <c r="C1196" s="72" t="s">
        <v>1976</v>
      </c>
      <c r="D1196" s="52" t="s">
        <v>234</v>
      </c>
      <c r="E1196" s="69">
        <v>44791</v>
      </c>
    </row>
    <row r="1197" spans="1:5" x14ac:dyDescent="0.35">
      <c r="A1197" s="51">
        <v>1</v>
      </c>
      <c r="B1197" s="52" t="s">
        <v>2117</v>
      </c>
      <c r="C1197" s="72" t="s">
        <v>1970</v>
      </c>
      <c r="D1197" s="52" t="s">
        <v>234</v>
      </c>
      <c r="E1197" s="69">
        <v>44791</v>
      </c>
    </row>
    <row r="1198" spans="1:5" x14ac:dyDescent="0.35">
      <c r="A1198" s="51">
        <v>1</v>
      </c>
      <c r="B1198" s="52" t="s">
        <v>2249</v>
      </c>
      <c r="C1198" s="72" t="s">
        <v>1970</v>
      </c>
      <c r="D1198" s="52" t="s">
        <v>234</v>
      </c>
      <c r="E1198" s="69">
        <v>44791</v>
      </c>
    </row>
    <row r="1199" spans="1:5" x14ac:dyDescent="0.35">
      <c r="A1199" s="51">
        <v>1</v>
      </c>
      <c r="B1199" s="52" t="s">
        <v>2318</v>
      </c>
      <c r="C1199" s="72" t="s">
        <v>1970</v>
      </c>
      <c r="D1199" s="52" t="s">
        <v>234</v>
      </c>
      <c r="E1199" s="69">
        <v>44791</v>
      </c>
    </row>
    <row r="1200" spans="1:5" x14ac:dyDescent="0.35">
      <c r="A1200" s="51">
        <v>1</v>
      </c>
      <c r="B1200" s="52" t="s">
        <v>2370</v>
      </c>
      <c r="C1200" s="72" t="s">
        <v>1970</v>
      </c>
      <c r="D1200" s="52" t="s">
        <v>234</v>
      </c>
      <c r="E1200" s="69">
        <v>44791</v>
      </c>
    </row>
    <row r="1201" spans="1:5" x14ac:dyDescent="0.35">
      <c r="A1201" s="51">
        <v>1</v>
      </c>
      <c r="B1201" s="39" t="s">
        <v>2100</v>
      </c>
      <c r="C1201" s="72" t="s">
        <v>1976</v>
      </c>
      <c r="D1201" s="52" t="s">
        <v>234</v>
      </c>
      <c r="E1201" s="69">
        <v>44791</v>
      </c>
    </row>
    <row r="1202" spans="1:5" x14ac:dyDescent="0.35">
      <c r="A1202" s="51">
        <v>1</v>
      </c>
      <c r="B1202" s="52" t="s">
        <v>2162</v>
      </c>
      <c r="C1202" s="72" t="s">
        <v>1976</v>
      </c>
      <c r="D1202" s="52" t="s">
        <v>234</v>
      </c>
      <c r="E1202" s="69">
        <v>44791</v>
      </c>
    </row>
    <row r="1203" spans="1:5" x14ac:dyDescent="0.35">
      <c r="A1203" s="51">
        <v>1</v>
      </c>
      <c r="B1203" s="52" t="s">
        <v>2389</v>
      </c>
      <c r="C1203" s="72" t="s">
        <v>1976</v>
      </c>
      <c r="D1203" s="52" t="s">
        <v>234</v>
      </c>
      <c r="E1203" s="69">
        <v>44791</v>
      </c>
    </row>
    <row r="1204" spans="1:5" x14ac:dyDescent="0.35">
      <c r="A1204" s="51">
        <v>1</v>
      </c>
      <c r="B1204" s="52" t="s">
        <v>2395</v>
      </c>
      <c r="C1204" s="72" t="s">
        <v>1976</v>
      </c>
      <c r="D1204" s="52" t="s">
        <v>234</v>
      </c>
      <c r="E1204" s="69">
        <v>44791</v>
      </c>
    </row>
    <row r="1205" spans="1:5" x14ac:dyDescent="0.35">
      <c r="A1205" s="51">
        <v>1</v>
      </c>
      <c r="B1205" s="52" t="s">
        <v>2315</v>
      </c>
      <c r="C1205" s="72" t="s">
        <v>1970</v>
      </c>
      <c r="D1205" s="52" t="s">
        <v>234</v>
      </c>
      <c r="E1205" s="69">
        <v>44791</v>
      </c>
    </row>
    <row r="1206" spans="1:5" x14ac:dyDescent="0.35">
      <c r="A1206" s="51">
        <v>1</v>
      </c>
      <c r="B1206" s="52" t="s">
        <v>2394</v>
      </c>
      <c r="C1206" s="72" t="s">
        <v>1970</v>
      </c>
      <c r="D1206" s="52" t="s">
        <v>234</v>
      </c>
      <c r="E1206" s="69">
        <v>44791</v>
      </c>
    </row>
    <row r="1207" spans="1:5" hidden="1" x14ac:dyDescent="0.35">
      <c r="A1207" s="51">
        <v>1</v>
      </c>
      <c r="B1207" s="52" t="s">
        <v>486</v>
      </c>
      <c r="C1207" s="72" t="s">
        <v>1969</v>
      </c>
      <c r="D1207" s="52" t="s">
        <v>234</v>
      </c>
      <c r="E1207" s="69">
        <v>44791</v>
      </c>
    </row>
    <row r="1208" spans="1:5" x14ac:dyDescent="0.35">
      <c r="A1208" s="51">
        <v>1</v>
      </c>
      <c r="B1208" s="52" t="s">
        <v>2208</v>
      </c>
      <c r="C1208" s="72" t="s">
        <v>1970</v>
      </c>
      <c r="D1208" s="52" t="s">
        <v>239</v>
      </c>
      <c r="E1208" s="69">
        <v>44805</v>
      </c>
    </row>
    <row r="1209" spans="1:5" x14ac:dyDescent="0.35">
      <c r="A1209" s="51">
        <v>1</v>
      </c>
      <c r="B1209" s="52" t="s">
        <v>2237</v>
      </c>
      <c r="C1209" s="72" t="s">
        <v>1970</v>
      </c>
      <c r="D1209" s="52" t="s">
        <v>239</v>
      </c>
      <c r="E1209" s="69">
        <v>44805</v>
      </c>
    </row>
    <row r="1210" spans="1:5" x14ac:dyDescent="0.35">
      <c r="A1210" s="51">
        <v>1</v>
      </c>
      <c r="B1210" s="52" t="s">
        <v>2100</v>
      </c>
      <c r="C1210" s="72" t="s">
        <v>1970</v>
      </c>
      <c r="D1210" s="52" t="s">
        <v>239</v>
      </c>
      <c r="E1210" s="69">
        <v>44805</v>
      </c>
    </row>
    <row r="1211" spans="1:5" x14ac:dyDescent="0.35">
      <c r="A1211" s="51">
        <v>1</v>
      </c>
      <c r="B1211" s="52" t="s">
        <v>2105</v>
      </c>
      <c r="C1211" s="72" t="s">
        <v>1970</v>
      </c>
      <c r="D1211" s="52" t="s">
        <v>239</v>
      </c>
      <c r="E1211" s="69">
        <v>44805</v>
      </c>
    </row>
    <row r="1212" spans="1:5" hidden="1" x14ac:dyDescent="0.35">
      <c r="A1212" s="51">
        <v>1</v>
      </c>
      <c r="B1212" s="52" t="s">
        <v>2428</v>
      </c>
      <c r="C1212" s="72" t="s">
        <v>1969</v>
      </c>
      <c r="D1212" s="52" t="s">
        <v>239</v>
      </c>
      <c r="E1212" s="69">
        <v>44805</v>
      </c>
    </row>
    <row r="1213" spans="1:5" hidden="1" x14ac:dyDescent="0.35">
      <c r="A1213" s="51">
        <v>1</v>
      </c>
      <c r="B1213" s="52" t="s">
        <v>1922</v>
      </c>
      <c r="C1213" s="72" t="s">
        <v>1969</v>
      </c>
      <c r="D1213" s="52" t="s">
        <v>239</v>
      </c>
      <c r="E1213" s="69">
        <v>44805</v>
      </c>
    </row>
    <row r="1214" spans="1:5" x14ac:dyDescent="0.35">
      <c r="A1214" s="51">
        <v>1</v>
      </c>
      <c r="B1214" s="52" t="s">
        <v>2035</v>
      </c>
      <c r="C1214" s="72" t="s">
        <v>1976</v>
      </c>
      <c r="D1214" s="52" t="s">
        <v>239</v>
      </c>
      <c r="E1214" s="69">
        <v>44805</v>
      </c>
    </row>
    <row r="1215" spans="1:5" x14ac:dyDescent="0.35">
      <c r="A1215" s="51">
        <v>1</v>
      </c>
      <c r="B1215" s="52" t="s">
        <v>2124</v>
      </c>
      <c r="C1215" s="72" t="s">
        <v>1976</v>
      </c>
      <c r="D1215" s="52" t="s">
        <v>239</v>
      </c>
      <c r="E1215" s="69">
        <v>44805</v>
      </c>
    </row>
    <row r="1216" spans="1:5" x14ac:dyDescent="0.35">
      <c r="A1216" s="51">
        <v>1</v>
      </c>
      <c r="B1216" s="52" t="s">
        <v>2225</v>
      </c>
      <c r="C1216" s="72" t="s">
        <v>1976</v>
      </c>
      <c r="D1216" s="52" t="s">
        <v>239</v>
      </c>
      <c r="E1216" s="69">
        <v>44805</v>
      </c>
    </row>
    <row r="1217" spans="1:5" x14ac:dyDescent="0.35">
      <c r="A1217" s="51">
        <v>1</v>
      </c>
      <c r="B1217" s="52" t="s">
        <v>2305</v>
      </c>
      <c r="C1217" s="72" t="s">
        <v>1976</v>
      </c>
      <c r="D1217" s="52" t="s">
        <v>239</v>
      </c>
      <c r="E1217" s="69">
        <v>44805</v>
      </c>
    </row>
    <row r="1218" spans="1:5" x14ac:dyDescent="0.35">
      <c r="A1218" s="51">
        <v>1</v>
      </c>
      <c r="B1218" s="52" t="s">
        <v>2307</v>
      </c>
      <c r="C1218" s="72" t="s">
        <v>1976</v>
      </c>
      <c r="D1218" s="52" t="s">
        <v>239</v>
      </c>
      <c r="E1218" s="69">
        <v>44805</v>
      </c>
    </row>
    <row r="1219" spans="1:5" x14ac:dyDescent="0.35">
      <c r="A1219" s="51">
        <v>1</v>
      </c>
      <c r="B1219" s="52" t="s">
        <v>2325</v>
      </c>
      <c r="C1219" s="72" t="s">
        <v>1976</v>
      </c>
      <c r="D1219" s="52" t="s">
        <v>239</v>
      </c>
      <c r="E1219" s="69">
        <v>44805</v>
      </c>
    </row>
    <row r="1220" spans="1:5" x14ac:dyDescent="0.35">
      <c r="A1220" s="51">
        <v>1</v>
      </c>
      <c r="B1220" s="52" t="s">
        <v>2399</v>
      </c>
      <c r="C1220" s="72" t="s">
        <v>1976</v>
      </c>
      <c r="D1220" s="52" t="s">
        <v>239</v>
      </c>
      <c r="E1220" s="69">
        <v>44805</v>
      </c>
    </row>
    <row r="1221" spans="1:5" x14ac:dyDescent="0.35">
      <c r="A1221" s="51">
        <v>1</v>
      </c>
      <c r="B1221" s="52" t="s">
        <v>2422</v>
      </c>
      <c r="C1221" s="72" t="s">
        <v>1976</v>
      </c>
      <c r="D1221" s="52" t="s">
        <v>239</v>
      </c>
      <c r="E1221" s="69">
        <v>44805</v>
      </c>
    </row>
    <row r="1222" spans="1:5" x14ac:dyDescent="0.35">
      <c r="A1222" s="51">
        <v>1</v>
      </c>
      <c r="B1222" s="52" t="s">
        <v>2423</v>
      </c>
      <c r="C1222" s="72" t="s">
        <v>1976</v>
      </c>
      <c r="D1222" s="52" t="s">
        <v>239</v>
      </c>
      <c r="E1222" s="69">
        <v>44805</v>
      </c>
    </row>
    <row r="1223" spans="1:5" x14ac:dyDescent="0.35">
      <c r="A1223" s="51">
        <v>1</v>
      </c>
      <c r="B1223" s="52" t="s">
        <v>2426</v>
      </c>
      <c r="C1223" s="72" t="s">
        <v>1976</v>
      </c>
      <c r="D1223" s="52" t="s">
        <v>239</v>
      </c>
      <c r="E1223" s="69">
        <v>44805</v>
      </c>
    </row>
    <row r="1224" spans="1:5" x14ac:dyDescent="0.35">
      <c r="A1224" s="99">
        <v>1</v>
      </c>
      <c r="B1224" s="52" t="s">
        <v>2429</v>
      </c>
      <c r="C1224" s="71" t="s">
        <v>1968</v>
      </c>
      <c r="D1224" s="39" t="s">
        <v>243</v>
      </c>
      <c r="E1224" s="87">
        <v>44819</v>
      </c>
    </row>
    <row r="1225" spans="1:5" x14ac:dyDescent="0.35">
      <c r="A1225" s="99">
        <v>1</v>
      </c>
      <c r="B1225" s="39" t="s">
        <v>2430</v>
      </c>
      <c r="C1225" s="71" t="s">
        <v>1970</v>
      </c>
      <c r="D1225" s="39" t="s">
        <v>244</v>
      </c>
      <c r="E1225" s="87">
        <v>44833</v>
      </c>
    </row>
    <row r="1226" spans="1:5" x14ac:dyDescent="0.35">
      <c r="A1226" s="99">
        <v>1</v>
      </c>
      <c r="B1226" s="39" t="s">
        <v>2325</v>
      </c>
      <c r="C1226" s="71" t="s">
        <v>1970</v>
      </c>
      <c r="D1226" s="39" t="s">
        <v>244</v>
      </c>
      <c r="E1226" s="87">
        <v>44833</v>
      </c>
    </row>
    <row r="1227" spans="1:5" x14ac:dyDescent="0.35">
      <c r="A1227" s="99">
        <v>1</v>
      </c>
      <c r="B1227" s="39" t="s">
        <v>2431</v>
      </c>
      <c r="C1227" s="71" t="s">
        <v>1970</v>
      </c>
      <c r="D1227" s="39" t="s">
        <v>244</v>
      </c>
      <c r="E1227" s="87">
        <v>44833</v>
      </c>
    </row>
    <row r="1228" spans="1:5" x14ac:dyDescent="0.35">
      <c r="A1228" s="99">
        <v>1</v>
      </c>
      <c r="B1228" s="39" t="s">
        <v>2432</v>
      </c>
      <c r="C1228" s="71" t="s">
        <v>1968</v>
      </c>
      <c r="D1228" s="39" t="s">
        <v>244</v>
      </c>
      <c r="E1228" s="87">
        <v>44833</v>
      </c>
    </row>
    <row r="1229" spans="1:5" x14ac:dyDescent="0.35">
      <c r="A1229" s="99">
        <v>1</v>
      </c>
      <c r="B1229" s="39" t="s">
        <v>2433</v>
      </c>
      <c r="C1229" s="71" t="s">
        <v>1970</v>
      </c>
      <c r="D1229" s="39" t="s">
        <v>244</v>
      </c>
      <c r="E1229" s="87">
        <v>44833</v>
      </c>
    </row>
    <row r="1230" spans="1:5" x14ac:dyDescent="0.35">
      <c r="A1230" s="99">
        <v>1</v>
      </c>
      <c r="B1230" s="39" t="s">
        <v>2434</v>
      </c>
      <c r="C1230" s="71" t="s">
        <v>1970</v>
      </c>
      <c r="D1230" s="39" t="s">
        <v>244</v>
      </c>
      <c r="E1230" s="87">
        <v>44833</v>
      </c>
    </row>
    <row r="1231" spans="1:5" x14ac:dyDescent="0.35">
      <c r="A1231" s="99">
        <v>1</v>
      </c>
      <c r="B1231" s="39" t="s">
        <v>2435</v>
      </c>
      <c r="C1231" s="71" t="s">
        <v>1970</v>
      </c>
      <c r="D1231" s="39" t="s">
        <v>244</v>
      </c>
      <c r="E1231" s="87">
        <v>44833</v>
      </c>
    </row>
    <row r="1232" spans="1:5" x14ac:dyDescent="0.35">
      <c r="A1232" s="99">
        <v>1</v>
      </c>
      <c r="B1232" s="39" t="s">
        <v>2436</v>
      </c>
      <c r="C1232" s="71" t="s">
        <v>1970</v>
      </c>
      <c r="D1232" s="39" t="s">
        <v>244</v>
      </c>
      <c r="E1232" s="87">
        <v>44833</v>
      </c>
    </row>
    <row r="1233" spans="1:10" x14ac:dyDescent="0.35">
      <c r="A1233" s="99">
        <v>1</v>
      </c>
      <c r="B1233" s="52" t="s">
        <v>2283</v>
      </c>
      <c r="C1233" s="72" t="s">
        <v>1976</v>
      </c>
      <c r="D1233" s="39" t="s">
        <v>244</v>
      </c>
      <c r="E1233" s="87">
        <v>44833</v>
      </c>
    </row>
    <row r="1234" spans="1:10" x14ac:dyDescent="0.35">
      <c r="A1234" s="99">
        <v>1</v>
      </c>
      <c r="B1234" s="52" t="s">
        <v>1517</v>
      </c>
      <c r="C1234" s="71" t="s">
        <v>1970</v>
      </c>
      <c r="D1234" s="39" t="s">
        <v>244</v>
      </c>
      <c r="E1234" s="87">
        <v>44833</v>
      </c>
    </row>
    <row r="1235" spans="1:10" x14ac:dyDescent="0.35">
      <c r="A1235" s="99">
        <v>1</v>
      </c>
      <c r="B1235" s="52" t="s">
        <v>2437</v>
      </c>
      <c r="C1235" s="71" t="s">
        <v>1970</v>
      </c>
      <c r="D1235" s="39" t="s">
        <v>244</v>
      </c>
      <c r="E1235" s="87">
        <v>44833</v>
      </c>
    </row>
    <row r="1236" spans="1:10" x14ac:dyDescent="0.35">
      <c r="A1236" s="99">
        <v>1</v>
      </c>
      <c r="B1236" s="52" t="s">
        <v>1522</v>
      </c>
      <c r="C1236" s="71" t="s">
        <v>1970</v>
      </c>
      <c r="D1236" s="39" t="s">
        <v>244</v>
      </c>
      <c r="E1236" s="87">
        <v>44833</v>
      </c>
    </row>
    <row r="1237" spans="1:10" x14ac:dyDescent="0.35">
      <c r="A1237" s="99">
        <v>1</v>
      </c>
      <c r="B1237" s="52" t="s">
        <v>1918</v>
      </c>
      <c r="C1237" s="72" t="s">
        <v>1976</v>
      </c>
      <c r="D1237" s="39" t="s">
        <v>244</v>
      </c>
      <c r="E1237" s="87">
        <v>44833</v>
      </c>
      <c r="H1237" s="7"/>
      <c r="I1237" s="11"/>
      <c r="J1237" s="6"/>
    </row>
    <row r="1238" spans="1:10" x14ac:dyDescent="0.35">
      <c r="A1238" s="99">
        <v>1</v>
      </c>
      <c r="B1238" s="52" t="s">
        <v>2438</v>
      </c>
      <c r="C1238" s="71" t="s">
        <v>1968</v>
      </c>
      <c r="D1238" s="39" t="s">
        <v>244</v>
      </c>
      <c r="E1238" s="87">
        <v>44833</v>
      </c>
      <c r="H1238" s="7"/>
      <c r="I1238" s="11"/>
      <c r="J1238" s="100"/>
    </row>
    <row r="1239" spans="1:10" x14ac:dyDescent="0.35">
      <c r="A1239" s="99">
        <v>1</v>
      </c>
      <c r="B1239" s="52" t="s">
        <v>2426</v>
      </c>
      <c r="C1239" s="71" t="s">
        <v>1970</v>
      </c>
      <c r="D1239" s="39" t="s">
        <v>244</v>
      </c>
      <c r="E1239" s="87">
        <v>44833</v>
      </c>
    </row>
    <row r="1240" spans="1:10" x14ac:dyDescent="0.35">
      <c r="A1240" s="99">
        <v>1</v>
      </c>
      <c r="B1240" s="52" t="s">
        <v>2439</v>
      </c>
      <c r="C1240" s="71" t="s">
        <v>1968</v>
      </c>
      <c r="D1240" s="52" t="s">
        <v>249</v>
      </c>
      <c r="E1240" s="69">
        <v>44847</v>
      </c>
    </row>
    <row r="1241" spans="1:10" x14ac:dyDescent="0.35">
      <c r="A1241" s="99">
        <v>1</v>
      </c>
      <c r="B1241" s="52" t="s">
        <v>2440</v>
      </c>
      <c r="C1241" s="71" t="s">
        <v>1968</v>
      </c>
      <c r="D1241" s="52" t="s">
        <v>249</v>
      </c>
      <c r="E1241" s="69">
        <v>44847</v>
      </c>
    </row>
    <row r="1242" spans="1:10" x14ac:dyDescent="0.35">
      <c r="A1242" s="99">
        <v>1</v>
      </c>
      <c r="B1242" s="52" t="s">
        <v>2101</v>
      </c>
      <c r="C1242" s="72" t="s">
        <v>1976</v>
      </c>
      <c r="D1242" s="52" t="s">
        <v>249</v>
      </c>
      <c r="E1242" s="69">
        <v>44847</v>
      </c>
    </row>
    <row r="1243" spans="1:10" x14ac:dyDescent="0.35">
      <c r="A1243" s="99">
        <v>1</v>
      </c>
      <c r="B1243" s="52" t="s">
        <v>2124</v>
      </c>
      <c r="C1243" s="72" t="s">
        <v>1976</v>
      </c>
      <c r="D1243" s="52" t="s">
        <v>249</v>
      </c>
      <c r="E1243" s="69">
        <v>44847</v>
      </c>
    </row>
    <row r="1244" spans="1:10" x14ac:dyDescent="0.35">
      <c r="A1244" s="99">
        <v>1</v>
      </c>
      <c r="B1244" s="52" t="s">
        <v>2162</v>
      </c>
      <c r="C1244" s="72" t="s">
        <v>1976</v>
      </c>
      <c r="D1244" s="52" t="s">
        <v>249</v>
      </c>
      <c r="E1244" s="69">
        <v>44847</v>
      </c>
    </row>
    <row r="1245" spans="1:10" x14ac:dyDescent="0.35">
      <c r="A1245" s="99">
        <v>1</v>
      </c>
      <c r="B1245" s="52" t="s">
        <v>2224</v>
      </c>
      <c r="C1245" s="72" t="s">
        <v>1976</v>
      </c>
      <c r="D1245" s="52" t="s">
        <v>249</v>
      </c>
      <c r="E1245" s="69">
        <v>44847</v>
      </c>
    </row>
    <row r="1246" spans="1:10" x14ac:dyDescent="0.35">
      <c r="A1246" s="99">
        <v>1</v>
      </c>
      <c r="B1246" s="52" t="s">
        <v>2225</v>
      </c>
      <c r="C1246" s="72" t="s">
        <v>1976</v>
      </c>
      <c r="D1246" s="52" t="s">
        <v>249</v>
      </c>
      <c r="E1246" s="69">
        <v>44847</v>
      </c>
    </row>
    <row r="1247" spans="1:10" x14ac:dyDescent="0.35">
      <c r="A1247" s="99">
        <v>1</v>
      </c>
      <c r="B1247" s="52" t="s">
        <v>2305</v>
      </c>
      <c r="C1247" s="72" t="s">
        <v>1976</v>
      </c>
      <c r="D1247" s="52" t="s">
        <v>249</v>
      </c>
      <c r="E1247" s="69">
        <v>44847</v>
      </c>
    </row>
    <row r="1248" spans="1:10" x14ac:dyDescent="0.35">
      <c r="A1248" s="99">
        <v>1</v>
      </c>
      <c r="B1248" s="52" t="s">
        <v>2317</v>
      </c>
      <c r="C1248" s="72" t="s">
        <v>1976</v>
      </c>
      <c r="D1248" s="52" t="s">
        <v>249</v>
      </c>
      <c r="E1248" s="69">
        <v>44847</v>
      </c>
    </row>
    <row r="1249" spans="1:5" x14ac:dyDescent="0.35">
      <c r="A1249" s="99">
        <v>1</v>
      </c>
      <c r="B1249" s="52" t="s">
        <v>2395</v>
      </c>
      <c r="C1249" s="72" t="s">
        <v>1976</v>
      </c>
      <c r="D1249" s="52" t="s">
        <v>249</v>
      </c>
      <c r="E1249" s="69">
        <v>44847</v>
      </c>
    </row>
    <row r="1250" spans="1:5" x14ac:dyDescent="0.35">
      <c r="A1250" s="99">
        <v>1</v>
      </c>
      <c r="B1250" s="52" t="s">
        <v>2399</v>
      </c>
      <c r="C1250" s="72" t="s">
        <v>1976</v>
      </c>
      <c r="D1250" s="52" t="s">
        <v>249</v>
      </c>
      <c r="E1250" s="69">
        <v>44847</v>
      </c>
    </row>
    <row r="1251" spans="1:5" x14ac:dyDescent="0.35">
      <c r="A1251" s="99">
        <v>1</v>
      </c>
      <c r="B1251" s="52" t="s">
        <v>2412</v>
      </c>
      <c r="C1251" s="72" t="s">
        <v>1976</v>
      </c>
      <c r="D1251" s="52" t="s">
        <v>249</v>
      </c>
      <c r="E1251" s="69">
        <v>44847</v>
      </c>
    </row>
    <row r="1252" spans="1:5" x14ac:dyDescent="0.35">
      <c r="A1252" s="99">
        <v>1</v>
      </c>
      <c r="B1252" s="52" t="s">
        <v>2441</v>
      </c>
      <c r="C1252" s="72" t="s">
        <v>1975</v>
      </c>
      <c r="D1252" s="52" t="s">
        <v>249</v>
      </c>
      <c r="E1252" s="69">
        <v>44847</v>
      </c>
    </row>
    <row r="1253" spans="1:5" x14ac:dyDescent="0.35">
      <c r="A1253" s="99">
        <v>1</v>
      </c>
      <c r="B1253" s="52" t="s">
        <v>2415</v>
      </c>
      <c r="C1253" s="72" t="s">
        <v>1976</v>
      </c>
      <c r="D1253" s="52" t="s">
        <v>249</v>
      </c>
      <c r="E1253" s="69">
        <v>44847</v>
      </c>
    </row>
    <row r="1254" spans="1:5" x14ac:dyDescent="0.35">
      <c r="A1254" s="99">
        <v>1</v>
      </c>
      <c r="B1254" s="52" t="s">
        <v>2442</v>
      </c>
      <c r="C1254" s="72" t="s">
        <v>1968</v>
      </c>
      <c r="D1254" s="52" t="s">
        <v>249</v>
      </c>
      <c r="E1254" s="69">
        <v>44847</v>
      </c>
    </row>
    <row r="1255" spans="1:5" x14ac:dyDescent="0.35">
      <c r="A1255" s="99">
        <v>1</v>
      </c>
      <c r="B1255" s="7" t="s">
        <v>2443</v>
      </c>
      <c r="C1255" s="72" t="s">
        <v>1976</v>
      </c>
      <c r="D1255" s="52" t="s">
        <v>249</v>
      </c>
      <c r="E1255" s="69">
        <v>44847</v>
      </c>
    </row>
    <row r="1256" spans="1:5" x14ac:dyDescent="0.35">
      <c r="A1256" s="99">
        <v>1</v>
      </c>
      <c r="B1256" s="7" t="s">
        <v>2444</v>
      </c>
      <c r="C1256" s="72" t="s">
        <v>1976</v>
      </c>
      <c r="D1256" s="52" t="s">
        <v>249</v>
      </c>
      <c r="E1256" s="69">
        <v>44847</v>
      </c>
    </row>
    <row r="1257" spans="1:5" x14ac:dyDescent="0.35">
      <c r="A1257" s="99">
        <v>1</v>
      </c>
      <c r="B1257" s="7" t="s">
        <v>2445</v>
      </c>
      <c r="C1257" s="72" t="s">
        <v>1976</v>
      </c>
      <c r="D1257" s="52" t="s">
        <v>249</v>
      </c>
      <c r="E1257" s="69">
        <v>44847</v>
      </c>
    </row>
    <row r="1258" spans="1:5" x14ac:dyDescent="0.35">
      <c r="A1258" s="99">
        <v>1</v>
      </c>
      <c r="B1258" s="7" t="s">
        <v>2446</v>
      </c>
      <c r="C1258" s="72" t="s">
        <v>1976</v>
      </c>
      <c r="D1258" s="52" t="s">
        <v>249</v>
      </c>
      <c r="E1258" s="69">
        <v>44847</v>
      </c>
    </row>
    <row r="1259" spans="1:5" x14ac:dyDescent="0.35">
      <c r="A1259" s="99">
        <v>1</v>
      </c>
      <c r="B1259" s="7" t="s">
        <v>2441</v>
      </c>
      <c r="C1259" s="72" t="s">
        <v>1976</v>
      </c>
      <c r="D1259" s="52" t="s">
        <v>249</v>
      </c>
      <c r="E1259" s="69">
        <v>44847</v>
      </c>
    </row>
    <row r="1260" spans="1:5" x14ac:dyDescent="0.35">
      <c r="A1260" s="99">
        <v>1</v>
      </c>
      <c r="B1260" s="7" t="s">
        <v>2447</v>
      </c>
      <c r="C1260" s="72" t="s">
        <v>1976</v>
      </c>
      <c r="D1260" s="52" t="s">
        <v>249</v>
      </c>
      <c r="E1260" s="69">
        <v>44847</v>
      </c>
    </row>
    <row r="1261" spans="1:5" x14ac:dyDescent="0.35">
      <c r="A1261" s="99">
        <v>1</v>
      </c>
      <c r="B1261" s="7" t="s">
        <v>2448</v>
      </c>
      <c r="C1261" s="72" t="s">
        <v>1976</v>
      </c>
      <c r="D1261" s="52" t="s">
        <v>249</v>
      </c>
      <c r="E1261" s="69">
        <v>44847</v>
      </c>
    </row>
    <row r="1262" spans="1:5" x14ac:dyDescent="0.35">
      <c r="A1262" s="99">
        <v>1</v>
      </c>
      <c r="B1262" s="8" t="s">
        <v>2449</v>
      </c>
      <c r="C1262" s="72" t="s">
        <v>1976</v>
      </c>
      <c r="D1262" s="52" t="s">
        <v>249</v>
      </c>
      <c r="E1262" s="69">
        <v>44847</v>
      </c>
    </row>
    <row r="1263" spans="1:5" x14ac:dyDescent="0.35">
      <c r="A1263" s="99">
        <v>1</v>
      </c>
      <c r="B1263" s="8" t="s">
        <v>2450</v>
      </c>
      <c r="C1263" s="72" t="s">
        <v>1976</v>
      </c>
      <c r="D1263" s="52" t="s">
        <v>249</v>
      </c>
      <c r="E1263" s="69">
        <v>44847</v>
      </c>
    </row>
    <row r="1264" spans="1:5" x14ac:dyDescent="0.35">
      <c r="A1264" s="99">
        <v>1</v>
      </c>
      <c r="B1264" s="8" t="s">
        <v>2451</v>
      </c>
      <c r="C1264" s="72" t="s">
        <v>1976</v>
      </c>
      <c r="D1264" s="52" t="s">
        <v>249</v>
      </c>
      <c r="E1264" s="69">
        <v>44847</v>
      </c>
    </row>
    <row r="1265" spans="1:5" x14ac:dyDescent="0.35">
      <c r="A1265" s="99">
        <v>1</v>
      </c>
      <c r="B1265" s="52" t="s">
        <v>2452</v>
      </c>
      <c r="C1265" s="72" t="s">
        <v>1976</v>
      </c>
      <c r="D1265" s="52" t="s">
        <v>253</v>
      </c>
      <c r="E1265" s="69">
        <v>44861</v>
      </c>
    </row>
    <row r="1266" spans="1:5" x14ac:dyDescent="0.35">
      <c r="A1266" s="99">
        <v>1</v>
      </c>
      <c r="B1266" s="52" t="s">
        <v>2396</v>
      </c>
      <c r="C1266" s="72" t="s">
        <v>1976</v>
      </c>
      <c r="D1266" s="52" t="s">
        <v>253</v>
      </c>
      <c r="E1266" s="69">
        <v>44861</v>
      </c>
    </row>
    <row r="1267" spans="1:5" x14ac:dyDescent="0.35">
      <c r="A1267" s="99">
        <v>1</v>
      </c>
      <c r="B1267" s="52" t="s">
        <v>2397</v>
      </c>
      <c r="C1267" s="72" t="s">
        <v>1976</v>
      </c>
      <c r="D1267" s="52" t="s">
        <v>253</v>
      </c>
      <c r="E1267" s="69">
        <v>44861</v>
      </c>
    </row>
    <row r="1268" spans="1:5" x14ac:dyDescent="0.35">
      <c r="A1268" s="99">
        <v>1</v>
      </c>
      <c r="B1268" s="52" t="s">
        <v>2406</v>
      </c>
      <c r="C1268" s="72" t="s">
        <v>1976</v>
      </c>
      <c r="D1268" s="52" t="s">
        <v>253</v>
      </c>
      <c r="E1268" s="69">
        <v>44861</v>
      </c>
    </row>
    <row r="1269" spans="1:5" x14ac:dyDescent="0.35">
      <c r="A1269" s="99">
        <v>1</v>
      </c>
      <c r="B1269" s="52" t="s">
        <v>2402</v>
      </c>
      <c r="C1269" s="72" t="s">
        <v>1970</v>
      </c>
      <c r="D1269" s="52" t="s">
        <v>253</v>
      </c>
      <c r="E1269" s="69">
        <v>44861</v>
      </c>
    </row>
    <row r="1270" spans="1:5" x14ac:dyDescent="0.35">
      <c r="A1270" s="99">
        <v>1</v>
      </c>
      <c r="B1270" s="52" t="s">
        <v>2439</v>
      </c>
      <c r="C1270" s="72" t="s">
        <v>1975</v>
      </c>
      <c r="D1270" s="52" t="s">
        <v>256</v>
      </c>
      <c r="E1270" s="69">
        <v>44875</v>
      </c>
    </row>
    <row r="1271" spans="1:5" x14ac:dyDescent="0.35">
      <c r="A1271" s="99">
        <v>1</v>
      </c>
      <c r="B1271" s="52" t="s">
        <v>2453</v>
      </c>
      <c r="C1271" s="72" t="s">
        <v>1975</v>
      </c>
      <c r="D1271" s="52" t="s">
        <v>256</v>
      </c>
      <c r="E1271" s="69">
        <v>44875</v>
      </c>
    </row>
    <row r="1272" spans="1:5" x14ac:dyDescent="0.35">
      <c r="A1272" s="99">
        <v>1</v>
      </c>
      <c r="B1272" s="52" t="s">
        <v>2427</v>
      </c>
      <c r="C1272" s="72" t="s">
        <v>1975</v>
      </c>
      <c r="D1272" s="52" t="s">
        <v>256</v>
      </c>
      <c r="E1272" s="69">
        <v>44875</v>
      </c>
    </row>
    <row r="1273" spans="1:5" x14ac:dyDescent="0.35">
      <c r="A1273" s="99">
        <v>1</v>
      </c>
      <c r="B1273" s="39" t="s">
        <v>2280</v>
      </c>
      <c r="C1273" s="72" t="s">
        <v>1975</v>
      </c>
      <c r="D1273" s="52" t="s">
        <v>256</v>
      </c>
      <c r="E1273" s="69">
        <v>44875</v>
      </c>
    </row>
    <row r="1274" spans="1:5" x14ac:dyDescent="0.35">
      <c r="A1274" s="99">
        <v>1</v>
      </c>
      <c r="B1274" s="52" t="s">
        <v>2311</v>
      </c>
      <c r="C1274" s="72" t="s">
        <v>1975</v>
      </c>
      <c r="D1274" s="52" t="s">
        <v>256</v>
      </c>
      <c r="E1274" s="69">
        <v>44875</v>
      </c>
    </row>
    <row r="1275" spans="1:5" x14ac:dyDescent="0.35">
      <c r="A1275" s="99">
        <v>1</v>
      </c>
      <c r="B1275" s="52" t="s">
        <v>2443</v>
      </c>
      <c r="C1275" s="72" t="s">
        <v>1975</v>
      </c>
      <c r="D1275" s="52" t="s">
        <v>256</v>
      </c>
      <c r="E1275" s="69">
        <v>44875</v>
      </c>
    </row>
    <row r="1276" spans="1:5" x14ac:dyDescent="0.35">
      <c r="A1276" s="99">
        <v>1</v>
      </c>
      <c r="B1276" s="52" t="s">
        <v>2444</v>
      </c>
      <c r="C1276" s="72" t="s">
        <v>1975</v>
      </c>
      <c r="D1276" s="52" t="s">
        <v>256</v>
      </c>
      <c r="E1276" s="69">
        <v>44875</v>
      </c>
    </row>
    <row r="1277" spans="1:5" x14ac:dyDescent="0.35">
      <c r="A1277" s="99">
        <v>1</v>
      </c>
      <c r="B1277" s="52" t="s">
        <v>2445</v>
      </c>
      <c r="C1277" s="72" t="s">
        <v>1975</v>
      </c>
      <c r="D1277" s="52" t="s">
        <v>256</v>
      </c>
      <c r="E1277" s="69">
        <v>44875</v>
      </c>
    </row>
    <row r="1278" spans="1:5" x14ac:dyDescent="0.35">
      <c r="A1278" s="99">
        <v>1</v>
      </c>
      <c r="B1278" s="52" t="s">
        <v>2446</v>
      </c>
      <c r="C1278" s="72" t="s">
        <v>1975</v>
      </c>
      <c r="D1278" s="52" t="s">
        <v>256</v>
      </c>
      <c r="E1278" s="69">
        <v>44875</v>
      </c>
    </row>
    <row r="1279" spans="1:5" x14ac:dyDescent="0.35">
      <c r="A1279" s="99">
        <v>1</v>
      </c>
      <c r="B1279" s="52" t="s">
        <v>2441</v>
      </c>
      <c r="C1279" s="72" t="s">
        <v>1975</v>
      </c>
      <c r="D1279" s="52" t="s">
        <v>256</v>
      </c>
      <c r="E1279" s="69">
        <v>44875</v>
      </c>
    </row>
    <row r="1280" spans="1:5" x14ac:dyDescent="0.35">
      <c r="A1280" s="99">
        <v>1</v>
      </c>
      <c r="B1280" s="52" t="s">
        <v>2447</v>
      </c>
      <c r="C1280" s="72" t="s">
        <v>1975</v>
      </c>
      <c r="D1280" s="52" t="s">
        <v>256</v>
      </c>
      <c r="E1280" s="69">
        <v>44875</v>
      </c>
    </row>
    <row r="1281" spans="1:5" x14ac:dyDescent="0.35">
      <c r="A1281" s="99">
        <v>1</v>
      </c>
      <c r="B1281" s="52" t="s">
        <v>2448</v>
      </c>
      <c r="C1281" s="72" t="s">
        <v>1975</v>
      </c>
      <c r="D1281" s="52" t="s">
        <v>256</v>
      </c>
      <c r="E1281" s="69">
        <v>44875</v>
      </c>
    </row>
    <row r="1282" spans="1:5" x14ac:dyDescent="0.35">
      <c r="A1282" s="99">
        <v>1</v>
      </c>
      <c r="B1282" s="52" t="s">
        <v>2316</v>
      </c>
      <c r="C1282" s="72" t="s">
        <v>1975</v>
      </c>
      <c r="D1282" s="52" t="s">
        <v>256</v>
      </c>
      <c r="E1282" s="69">
        <v>44875</v>
      </c>
    </row>
    <row r="1283" spans="1:5" x14ac:dyDescent="0.35">
      <c r="A1283" s="99">
        <v>1</v>
      </c>
      <c r="B1283" s="52" t="s">
        <v>2317</v>
      </c>
      <c r="C1283" s="72" t="s">
        <v>1975</v>
      </c>
      <c r="D1283" s="52" t="s">
        <v>256</v>
      </c>
      <c r="E1283" s="69">
        <v>44875</v>
      </c>
    </row>
    <row r="1284" spans="1:5" x14ac:dyDescent="0.35">
      <c r="A1284" s="99">
        <v>1</v>
      </c>
      <c r="B1284" s="52" t="s">
        <v>2332</v>
      </c>
      <c r="C1284" s="72" t="s">
        <v>1975</v>
      </c>
      <c r="D1284" s="52" t="s">
        <v>256</v>
      </c>
      <c r="E1284" s="69">
        <v>44875</v>
      </c>
    </row>
    <row r="1285" spans="1:5" x14ac:dyDescent="0.35">
      <c r="A1285" s="99">
        <v>1</v>
      </c>
      <c r="B1285" s="52" t="s">
        <v>2358</v>
      </c>
      <c r="C1285" s="72" t="s">
        <v>1975</v>
      </c>
      <c r="D1285" s="52" t="s">
        <v>256</v>
      </c>
      <c r="E1285" s="69">
        <v>44875</v>
      </c>
    </row>
    <row r="1286" spans="1:5" x14ac:dyDescent="0.35">
      <c r="A1286" s="99">
        <v>1</v>
      </c>
      <c r="B1286" s="52" t="s">
        <v>2364</v>
      </c>
      <c r="C1286" s="72" t="s">
        <v>1975</v>
      </c>
      <c r="D1286" s="52" t="s">
        <v>256</v>
      </c>
      <c r="E1286" s="69">
        <v>44875</v>
      </c>
    </row>
    <row r="1287" spans="1:5" x14ac:dyDescent="0.35">
      <c r="A1287" s="99">
        <v>1</v>
      </c>
      <c r="B1287" s="52" t="s">
        <v>2393</v>
      </c>
      <c r="C1287" s="72" t="s">
        <v>1975</v>
      </c>
      <c r="D1287" s="52" t="s">
        <v>256</v>
      </c>
      <c r="E1287" s="69">
        <v>44875</v>
      </c>
    </row>
    <row r="1288" spans="1:5" x14ac:dyDescent="0.35">
      <c r="A1288" s="99">
        <v>1</v>
      </c>
      <c r="B1288" s="52" t="s">
        <v>2454</v>
      </c>
      <c r="C1288" s="72" t="s">
        <v>1968</v>
      </c>
      <c r="D1288" s="52" t="s">
        <v>256</v>
      </c>
      <c r="E1288" s="69">
        <v>44875</v>
      </c>
    </row>
    <row r="1289" spans="1:5" x14ac:dyDescent="0.35">
      <c r="A1289" s="99">
        <v>1</v>
      </c>
      <c r="B1289" s="52" t="s">
        <v>2455</v>
      </c>
      <c r="C1289" s="72" t="s">
        <v>1968</v>
      </c>
      <c r="D1289" s="52" t="s">
        <v>258</v>
      </c>
      <c r="E1289" s="69">
        <v>44889</v>
      </c>
    </row>
    <row r="1290" spans="1:5" x14ac:dyDescent="0.35">
      <c r="A1290" s="99">
        <v>1</v>
      </c>
      <c r="B1290" s="52" t="s">
        <v>2456</v>
      </c>
      <c r="C1290" s="72" t="s">
        <v>1968</v>
      </c>
      <c r="D1290" s="52" t="s">
        <v>258</v>
      </c>
      <c r="E1290" s="69">
        <v>44889</v>
      </c>
    </row>
    <row r="1291" spans="1:5" x14ac:dyDescent="0.35">
      <c r="A1291" s="99">
        <v>1</v>
      </c>
      <c r="B1291" s="52" t="s">
        <v>2457</v>
      </c>
      <c r="C1291" s="72" t="s">
        <v>1968</v>
      </c>
      <c r="D1291" s="52" t="s">
        <v>258</v>
      </c>
      <c r="E1291" s="69">
        <v>44889</v>
      </c>
    </row>
    <row r="1292" spans="1:5" x14ac:dyDescent="0.35">
      <c r="A1292" s="99">
        <v>1</v>
      </c>
      <c r="B1292" s="52" t="s">
        <v>2458</v>
      </c>
      <c r="C1292" s="72" t="s">
        <v>1968</v>
      </c>
      <c r="D1292" s="52" t="s">
        <v>258</v>
      </c>
      <c r="E1292" s="69">
        <v>44889</v>
      </c>
    </row>
    <row r="1293" spans="1:5" x14ac:dyDescent="0.35">
      <c r="A1293" s="99">
        <v>1</v>
      </c>
      <c r="B1293" s="52" t="s">
        <v>2225</v>
      </c>
      <c r="C1293" s="72" t="s">
        <v>1976</v>
      </c>
      <c r="D1293" s="52" t="s">
        <v>258</v>
      </c>
      <c r="E1293" s="69">
        <v>44889</v>
      </c>
    </row>
    <row r="1294" spans="1:5" x14ac:dyDescent="0.35">
      <c r="A1294" s="99">
        <v>1</v>
      </c>
      <c r="B1294" s="52" t="s">
        <v>2317</v>
      </c>
      <c r="C1294" s="72" t="s">
        <v>1976</v>
      </c>
      <c r="D1294" s="52" t="s">
        <v>258</v>
      </c>
      <c r="E1294" s="69">
        <v>44889</v>
      </c>
    </row>
    <row r="1295" spans="1:5" x14ac:dyDescent="0.35">
      <c r="A1295" s="99">
        <v>1</v>
      </c>
      <c r="B1295" s="52" t="s">
        <v>2311</v>
      </c>
      <c r="C1295" s="72" t="s">
        <v>1976</v>
      </c>
      <c r="D1295" s="52" t="s">
        <v>258</v>
      </c>
      <c r="E1295" s="69">
        <v>44889</v>
      </c>
    </row>
    <row r="1296" spans="1:5" x14ac:dyDescent="0.35">
      <c r="A1296" s="99">
        <v>1</v>
      </c>
      <c r="B1296" s="52" t="s">
        <v>2432</v>
      </c>
      <c r="C1296" s="72" t="s">
        <v>1976</v>
      </c>
      <c r="D1296" s="52" t="s">
        <v>258</v>
      </c>
      <c r="E1296" s="69">
        <v>44889</v>
      </c>
    </row>
    <row r="1297" spans="1:5" x14ac:dyDescent="0.35">
      <c r="A1297" s="99">
        <v>1</v>
      </c>
      <c r="B1297" s="52" t="s">
        <v>2459</v>
      </c>
      <c r="C1297" s="72" t="s">
        <v>1968</v>
      </c>
      <c r="D1297" s="52" t="s">
        <v>261</v>
      </c>
      <c r="E1297" s="69">
        <v>44894</v>
      </c>
    </row>
    <row r="1298" spans="1:5" x14ac:dyDescent="0.35">
      <c r="A1298" s="99">
        <v>1</v>
      </c>
      <c r="B1298" s="52" t="s">
        <v>2460</v>
      </c>
      <c r="C1298" s="72" t="s">
        <v>1968</v>
      </c>
      <c r="D1298" s="52" t="s">
        <v>261</v>
      </c>
      <c r="E1298" s="69">
        <v>44897</v>
      </c>
    </row>
    <row r="1299" spans="1:5" x14ac:dyDescent="0.35">
      <c r="A1299" s="99">
        <v>1</v>
      </c>
      <c r="B1299" s="52" t="s">
        <v>2461</v>
      </c>
      <c r="C1299" s="72" t="s">
        <v>1968</v>
      </c>
      <c r="D1299" s="52" t="s">
        <v>261</v>
      </c>
      <c r="E1299" s="69">
        <v>44900</v>
      </c>
    </row>
    <row r="1300" spans="1:5" x14ac:dyDescent="0.35">
      <c r="A1300" s="99">
        <v>1</v>
      </c>
      <c r="B1300" s="52" t="s">
        <v>2462</v>
      </c>
      <c r="C1300" s="72" t="s">
        <v>1968</v>
      </c>
      <c r="D1300" s="52" t="s">
        <v>261</v>
      </c>
      <c r="E1300" s="69">
        <v>44908</v>
      </c>
    </row>
    <row r="1301" spans="1:5" x14ac:dyDescent="0.35">
      <c r="A1301" s="99">
        <v>1</v>
      </c>
      <c r="B1301" s="52" t="s">
        <v>2395</v>
      </c>
      <c r="C1301" s="72" t="s">
        <v>1976</v>
      </c>
      <c r="D1301" s="52" t="s">
        <v>261</v>
      </c>
      <c r="E1301" s="69">
        <v>44908</v>
      </c>
    </row>
    <row r="1302" spans="1:5" x14ac:dyDescent="0.35">
      <c r="A1302" s="99">
        <v>1</v>
      </c>
      <c r="B1302" s="52" t="s">
        <v>2443</v>
      </c>
      <c r="C1302" s="72" t="s">
        <v>1976</v>
      </c>
      <c r="D1302" s="52" t="s">
        <v>261</v>
      </c>
      <c r="E1302" s="69">
        <v>44908</v>
      </c>
    </row>
    <row r="1303" spans="1:5" x14ac:dyDescent="0.35">
      <c r="A1303" s="99">
        <v>1</v>
      </c>
      <c r="B1303" s="52" t="s">
        <v>2445</v>
      </c>
      <c r="C1303" s="72" t="s">
        <v>1976</v>
      </c>
      <c r="D1303" s="52" t="s">
        <v>261</v>
      </c>
      <c r="E1303" s="69">
        <v>44908</v>
      </c>
    </row>
    <row r="1304" spans="1:5" x14ac:dyDescent="0.35">
      <c r="A1304" s="99">
        <v>1</v>
      </c>
      <c r="B1304" s="52" t="s">
        <v>2446</v>
      </c>
      <c r="C1304" s="72" t="s">
        <v>1976</v>
      </c>
      <c r="D1304" s="52" t="s">
        <v>261</v>
      </c>
      <c r="E1304" s="69">
        <v>44908</v>
      </c>
    </row>
    <row r="1305" spans="1:5" x14ac:dyDescent="0.35">
      <c r="A1305" s="99">
        <v>1</v>
      </c>
      <c r="B1305" s="52" t="s">
        <v>2463</v>
      </c>
      <c r="C1305" s="72" t="s">
        <v>1976</v>
      </c>
      <c r="D1305" s="52" t="s">
        <v>261</v>
      </c>
      <c r="E1305" s="69">
        <v>44908</v>
      </c>
    </row>
    <row r="1306" spans="1:5" x14ac:dyDescent="0.35">
      <c r="A1306" s="99">
        <v>1</v>
      </c>
      <c r="B1306" s="52" t="s">
        <v>2448</v>
      </c>
      <c r="C1306" s="72" t="s">
        <v>1976</v>
      </c>
      <c r="D1306" s="52" t="s">
        <v>261</v>
      </c>
      <c r="E1306" s="69">
        <v>44908</v>
      </c>
    </row>
    <row r="1307" spans="1:5" x14ac:dyDescent="0.35">
      <c r="A1307" s="99">
        <v>1</v>
      </c>
      <c r="B1307" s="52" t="s">
        <v>2452</v>
      </c>
      <c r="C1307" s="71" t="s">
        <v>1970</v>
      </c>
      <c r="D1307" s="52" t="s">
        <v>261</v>
      </c>
      <c r="E1307" s="69">
        <v>44909</v>
      </c>
    </row>
    <row r="1308" spans="1:5" x14ac:dyDescent="0.35">
      <c r="A1308" s="99">
        <v>1</v>
      </c>
      <c r="B1308" s="52" t="s">
        <v>2396</v>
      </c>
      <c r="C1308" s="71" t="s">
        <v>1970</v>
      </c>
      <c r="D1308" s="52" t="s">
        <v>261</v>
      </c>
      <c r="E1308" s="69">
        <v>44909</v>
      </c>
    </row>
    <row r="1309" spans="1:5" x14ac:dyDescent="0.35">
      <c r="A1309" s="99">
        <v>1</v>
      </c>
      <c r="B1309" s="52" t="s">
        <v>2397</v>
      </c>
      <c r="C1309" s="71" t="s">
        <v>1970</v>
      </c>
      <c r="D1309" s="52" t="s">
        <v>261</v>
      </c>
      <c r="E1309" s="69">
        <v>44909</v>
      </c>
    </row>
    <row r="1310" spans="1:5" x14ac:dyDescent="0.35">
      <c r="A1310" s="99">
        <v>1</v>
      </c>
      <c r="B1310" s="52" t="s">
        <v>2406</v>
      </c>
      <c r="C1310" s="71" t="s">
        <v>1970</v>
      </c>
      <c r="D1310" s="52" t="s">
        <v>261</v>
      </c>
      <c r="E1310" s="69">
        <v>44909</v>
      </c>
    </row>
    <row r="1311" spans="1:5" x14ac:dyDescent="0.35">
      <c r="A1311" s="99">
        <v>1</v>
      </c>
      <c r="B1311" s="52" t="s">
        <v>2425</v>
      </c>
      <c r="C1311" s="71" t="s">
        <v>1970</v>
      </c>
      <c r="D1311" s="52" t="s">
        <v>261</v>
      </c>
      <c r="E1311" s="69">
        <v>44909</v>
      </c>
    </row>
    <row r="1312" spans="1:5" x14ac:dyDescent="0.35">
      <c r="A1312" s="99">
        <v>1</v>
      </c>
      <c r="B1312" s="52" t="s">
        <v>2432</v>
      </c>
      <c r="C1312" s="71" t="s">
        <v>1970</v>
      </c>
      <c r="D1312" s="52" t="s">
        <v>261</v>
      </c>
      <c r="E1312" s="69">
        <v>44909</v>
      </c>
    </row>
    <row r="1313" spans="1:5" x14ac:dyDescent="0.35">
      <c r="A1313" s="99">
        <v>1</v>
      </c>
      <c r="B1313" s="52" t="s">
        <v>2454</v>
      </c>
      <c r="C1313" s="71" t="s">
        <v>1970</v>
      </c>
      <c r="D1313" s="52" t="s">
        <v>261</v>
      </c>
      <c r="E1313" s="69">
        <v>44909</v>
      </c>
    </row>
    <row r="1314" spans="1:5" x14ac:dyDescent="0.35">
      <c r="A1314" s="99">
        <v>1</v>
      </c>
      <c r="B1314" s="52" t="s">
        <v>2461</v>
      </c>
      <c r="C1314" s="71" t="s">
        <v>1970</v>
      </c>
      <c r="D1314" s="52" t="s">
        <v>261</v>
      </c>
      <c r="E1314" s="69">
        <v>44909</v>
      </c>
    </row>
    <row r="1315" spans="1:5" x14ac:dyDescent="0.35">
      <c r="A1315" s="51">
        <v>1</v>
      </c>
      <c r="B1315" s="52" t="s">
        <v>2458</v>
      </c>
      <c r="C1315" s="71" t="s">
        <v>1970</v>
      </c>
      <c r="D1315" s="52" t="s">
        <v>261</v>
      </c>
      <c r="E1315" s="69">
        <v>44909</v>
      </c>
    </row>
    <row r="1316" spans="1:5" x14ac:dyDescent="0.35">
      <c r="A1316" s="51">
        <v>1</v>
      </c>
      <c r="B1316" s="52" t="s">
        <v>2389</v>
      </c>
      <c r="C1316" s="71" t="s">
        <v>1970</v>
      </c>
      <c r="D1316" s="52" t="s">
        <v>266</v>
      </c>
      <c r="E1316" s="69">
        <v>44915</v>
      </c>
    </row>
    <row r="1317" spans="1:5" x14ac:dyDescent="0.35">
      <c r="A1317" s="51">
        <v>1</v>
      </c>
      <c r="B1317" s="52" t="s">
        <v>2464</v>
      </c>
      <c r="C1317" s="71" t="s">
        <v>1968</v>
      </c>
      <c r="D1317" s="52" t="s">
        <v>266</v>
      </c>
      <c r="E1317" s="69">
        <v>44915</v>
      </c>
    </row>
    <row r="1318" spans="1:5" x14ac:dyDescent="0.35">
      <c r="A1318" s="51">
        <v>1</v>
      </c>
      <c r="B1318" s="52" t="s">
        <v>2465</v>
      </c>
      <c r="C1318" s="71" t="s">
        <v>1968</v>
      </c>
      <c r="D1318" s="52" t="s">
        <v>266</v>
      </c>
      <c r="E1318" s="69">
        <v>44915</v>
      </c>
    </row>
    <row r="1319" spans="1:5" x14ac:dyDescent="0.35">
      <c r="A1319" s="51">
        <v>1</v>
      </c>
      <c r="B1319" s="52" t="s">
        <v>2466</v>
      </c>
      <c r="C1319" s="71" t="s">
        <v>1968</v>
      </c>
      <c r="D1319" s="52" t="s">
        <v>266</v>
      </c>
      <c r="E1319" s="69">
        <v>44915</v>
      </c>
    </row>
    <row r="1320" spans="1:5" x14ac:dyDescent="0.35">
      <c r="A1320" s="51">
        <v>1</v>
      </c>
      <c r="B1320" s="52" t="s">
        <v>2395</v>
      </c>
      <c r="C1320" s="71" t="s">
        <v>1970</v>
      </c>
      <c r="D1320" s="52" t="s">
        <v>266</v>
      </c>
      <c r="E1320" s="69">
        <v>44915</v>
      </c>
    </row>
    <row r="1321" spans="1:5" x14ac:dyDescent="0.35">
      <c r="A1321" s="51">
        <v>1</v>
      </c>
      <c r="B1321" s="52" t="s">
        <v>2424</v>
      </c>
      <c r="C1321" s="71" t="s">
        <v>1970</v>
      </c>
      <c r="D1321" s="52" t="s">
        <v>269</v>
      </c>
      <c r="E1321" s="69">
        <v>44931</v>
      </c>
    </row>
    <row r="1322" spans="1:5" x14ac:dyDescent="0.35">
      <c r="A1322" s="51">
        <v>1</v>
      </c>
      <c r="B1322" s="52" t="s">
        <v>2467</v>
      </c>
      <c r="C1322" s="71" t="s">
        <v>1970</v>
      </c>
      <c r="D1322" s="52" t="s">
        <v>269</v>
      </c>
      <c r="E1322" s="69">
        <v>44931</v>
      </c>
    </row>
    <row r="1323" spans="1:5" x14ac:dyDescent="0.35">
      <c r="A1323" s="51">
        <v>1</v>
      </c>
      <c r="B1323" s="52" t="s">
        <v>2224</v>
      </c>
      <c r="C1323" s="72" t="s">
        <v>1976</v>
      </c>
      <c r="D1323" s="52" t="s">
        <v>269</v>
      </c>
      <c r="E1323" s="69">
        <v>44931</v>
      </c>
    </row>
    <row r="1324" spans="1:5" x14ac:dyDescent="0.35">
      <c r="A1324" s="51">
        <v>1</v>
      </c>
      <c r="B1324" s="52" t="s">
        <v>2442</v>
      </c>
      <c r="C1324" s="72" t="s">
        <v>1976</v>
      </c>
      <c r="D1324" s="52" t="s">
        <v>269</v>
      </c>
      <c r="E1324" s="69">
        <v>44931</v>
      </c>
    </row>
    <row r="1325" spans="1:5" x14ac:dyDescent="0.35">
      <c r="A1325" s="51">
        <v>1</v>
      </c>
      <c r="B1325" s="52" t="s">
        <v>2420</v>
      </c>
      <c r="C1325" s="72" t="s">
        <v>1976</v>
      </c>
      <c r="D1325" s="52" t="s">
        <v>269</v>
      </c>
      <c r="E1325" s="69">
        <v>44931</v>
      </c>
    </row>
    <row r="1326" spans="1:5" x14ac:dyDescent="0.35">
      <c r="A1326" s="51">
        <v>1</v>
      </c>
      <c r="B1326" s="52" t="s">
        <v>2459</v>
      </c>
      <c r="C1326" s="72" t="s">
        <v>1976</v>
      </c>
      <c r="D1326" s="52" t="s">
        <v>269</v>
      </c>
      <c r="E1326" s="69">
        <v>44931</v>
      </c>
    </row>
    <row r="1327" spans="1:5" x14ac:dyDescent="0.35">
      <c r="A1327" s="51">
        <v>1</v>
      </c>
      <c r="B1327" s="52" t="s">
        <v>2468</v>
      </c>
      <c r="C1327" s="72" t="s">
        <v>1968</v>
      </c>
      <c r="D1327" s="52" t="s">
        <v>269</v>
      </c>
      <c r="E1327" s="69">
        <v>44931</v>
      </c>
    </row>
    <row r="1328" spans="1:5" x14ac:dyDescent="0.35">
      <c r="A1328" s="51">
        <v>1</v>
      </c>
      <c r="B1328" s="52" t="s">
        <v>2469</v>
      </c>
      <c r="C1328" s="72" t="s">
        <v>1968</v>
      </c>
      <c r="D1328" s="52" t="s">
        <v>269</v>
      </c>
      <c r="E1328" s="69">
        <v>44931</v>
      </c>
    </row>
    <row r="1329" spans="1:5" x14ac:dyDescent="0.35">
      <c r="A1329" s="51">
        <v>1</v>
      </c>
      <c r="B1329" s="52" t="s">
        <v>2470</v>
      </c>
      <c r="C1329" s="72" t="s">
        <v>1968</v>
      </c>
      <c r="D1329" s="52" t="s">
        <v>273</v>
      </c>
      <c r="E1329" s="69">
        <v>44938</v>
      </c>
    </row>
    <row r="1330" spans="1:5" x14ac:dyDescent="0.35">
      <c r="A1330" s="51">
        <v>1</v>
      </c>
      <c r="B1330" s="52" t="s">
        <v>2471</v>
      </c>
      <c r="C1330" s="72" t="s">
        <v>1968</v>
      </c>
      <c r="D1330" s="52" t="s">
        <v>273</v>
      </c>
      <c r="E1330" s="69">
        <v>44938</v>
      </c>
    </row>
    <row r="1331" spans="1:5" x14ac:dyDescent="0.35">
      <c r="A1331" s="51">
        <v>1</v>
      </c>
      <c r="B1331" s="52" t="s">
        <v>2472</v>
      </c>
      <c r="C1331" s="72" t="s">
        <v>1968</v>
      </c>
      <c r="D1331" s="52" t="s">
        <v>273</v>
      </c>
      <c r="E1331" s="69">
        <v>44938</v>
      </c>
    </row>
    <row r="1332" spans="1:5" hidden="1" x14ac:dyDescent="0.35">
      <c r="A1332" s="51">
        <v>1</v>
      </c>
      <c r="B1332" s="52" t="s">
        <v>2473</v>
      </c>
      <c r="C1332" s="72" t="s">
        <v>1969</v>
      </c>
      <c r="D1332" s="52" t="s">
        <v>273</v>
      </c>
      <c r="E1332" s="69">
        <v>44938</v>
      </c>
    </row>
    <row r="1333" spans="1:5" x14ac:dyDescent="0.35">
      <c r="A1333" s="51">
        <v>1</v>
      </c>
      <c r="B1333" s="52" t="s">
        <v>2474</v>
      </c>
      <c r="C1333" s="72" t="s">
        <v>1968</v>
      </c>
      <c r="D1333" s="52" t="s">
        <v>273</v>
      </c>
      <c r="E1333" s="69">
        <v>44938</v>
      </c>
    </row>
    <row r="1334" spans="1:5" x14ac:dyDescent="0.35">
      <c r="A1334" s="51">
        <v>1</v>
      </c>
      <c r="B1334" s="52" t="s">
        <v>2475</v>
      </c>
      <c r="C1334" s="72" t="s">
        <v>1968</v>
      </c>
      <c r="D1334" s="52" t="s">
        <v>273</v>
      </c>
      <c r="E1334" s="69">
        <v>44938</v>
      </c>
    </row>
    <row r="1335" spans="1:5" x14ac:dyDescent="0.35">
      <c r="A1335" s="51">
        <v>1</v>
      </c>
      <c r="B1335" s="52" t="s">
        <v>2420</v>
      </c>
      <c r="C1335" s="72" t="s">
        <v>1976</v>
      </c>
      <c r="D1335" s="52" t="s">
        <v>273</v>
      </c>
      <c r="E1335" s="69">
        <v>44938</v>
      </c>
    </row>
    <row r="1336" spans="1:5" x14ac:dyDescent="0.35">
      <c r="A1336" s="51">
        <v>1</v>
      </c>
      <c r="B1336" s="52" t="s">
        <v>2459</v>
      </c>
      <c r="C1336" s="72" t="s">
        <v>1976</v>
      </c>
      <c r="D1336" s="52" t="s">
        <v>273</v>
      </c>
      <c r="E1336" s="69">
        <v>44938</v>
      </c>
    </row>
    <row r="1337" spans="1:5" x14ac:dyDescent="0.35">
      <c r="A1337" s="51">
        <v>1</v>
      </c>
      <c r="B1337" s="52" t="s">
        <v>2471</v>
      </c>
      <c r="C1337" s="71" t="s">
        <v>1970</v>
      </c>
      <c r="D1337" s="52" t="s">
        <v>276</v>
      </c>
      <c r="E1337" s="69">
        <v>44945</v>
      </c>
    </row>
    <row r="1338" spans="1:5" x14ac:dyDescent="0.35">
      <c r="A1338" s="51">
        <v>1</v>
      </c>
      <c r="B1338" s="39" t="s">
        <v>2442</v>
      </c>
      <c r="C1338" s="71" t="s">
        <v>1970</v>
      </c>
      <c r="D1338" s="52" t="s">
        <v>276</v>
      </c>
      <c r="E1338" s="69">
        <v>44945</v>
      </c>
    </row>
    <row r="1339" spans="1:5" x14ac:dyDescent="0.35">
      <c r="A1339" s="51">
        <v>1</v>
      </c>
      <c r="B1339" s="30" t="s">
        <v>2428</v>
      </c>
      <c r="C1339" s="72" t="s">
        <v>1976</v>
      </c>
      <c r="D1339" s="52" t="s">
        <v>276</v>
      </c>
      <c r="E1339" s="69">
        <v>44945</v>
      </c>
    </row>
    <row r="1340" spans="1:5" x14ac:dyDescent="0.35">
      <c r="A1340" s="51">
        <v>1</v>
      </c>
      <c r="B1340" s="30" t="s">
        <v>2473</v>
      </c>
      <c r="C1340" s="72" t="s">
        <v>1976</v>
      </c>
      <c r="D1340" s="52" t="s">
        <v>276</v>
      </c>
      <c r="E1340" s="69">
        <v>44945</v>
      </c>
    </row>
    <row r="1341" spans="1:5" x14ac:dyDescent="0.35">
      <c r="A1341" s="51">
        <v>1</v>
      </c>
      <c r="B1341" s="39" t="s">
        <v>2476</v>
      </c>
      <c r="C1341" s="72" t="s">
        <v>1968</v>
      </c>
      <c r="D1341" s="52" t="s">
        <v>276</v>
      </c>
      <c r="E1341" s="69">
        <v>44945</v>
      </c>
    </row>
    <row r="1342" spans="1:5" x14ac:dyDescent="0.35">
      <c r="A1342" s="51">
        <v>1</v>
      </c>
      <c r="B1342" s="39" t="s">
        <v>2477</v>
      </c>
      <c r="C1342" s="72" t="s">
        <v>1968</v>
      </c>
      <c r="D1342" s="52" t="s">
        <v>276</v>
      </c>
      <c r="E1342" s="69">
        <v>44945</v>
      </c>
    </row>
    <row r="1343" spans="1:5" x14ac:dyDescent="0.35">
      <c r="A1343" s="51">
        <v>1</v>
      </c>
      <c r="B1343" s="39" t="s">
        <v>2478</v>
      </c>
      <c r="C1343" s="72" t="s">
        <v>1968</v>
      </c>
      <c r="D1343" s="52" t="s">
        <v>276</v>
      </c>
      <c r="E1343" s="69">
        <v>44945</v>
      </c>
    </row>
    <row r="1344" spans="1:5" x14ac:dyDescent="0.35">
      <c r="A1344" s="51">
        <v>1</v>
      </c>
      <c r="B1344" s="39" t="s">
        <v>2460</v>
      </c>
      <c r="C1344" s="72" t="s">
        <v>1976</v>
      </c>
      <c r="D1344" s="52" t="s">
        <v>276</v>
      </c>
      <c r="E1344" s="69">
        <v>44945</v>
      </c>
    </row>
    <row r="1345" spans="1:5" x14ac:dyDescent="0.35">
      <c r="A1345" s="51">
        <v>1</v>
      </c>
      <c r="B1345" s="39" t="s">
        <v>2479</v>
      </c>
      <c r="C1345" s="71" t="s">
        <v>1970</v>
      </c>
      <c r="D1345" s="52" t="s">
        <v>281</v>
      </c>
      <c r="E1345" s="69">
        <v>44959</v>
      </c>
    </row>
    <row r="1346" spans="1:5" x14ac:dyDescent="0.35">
      <c r="A1346" s="51">
        <v>1</v>
      </c>
      <c r="B1346" s="39" t="s">
        <v>2480</v>
      </c>
      <c r="C1346" s="72" t="s">
        <v>1968</v>
      </c>
      <c r="D1346" s="52" t="s">
        <v>282</v>
      </c>
      <c r="E1346" s="69">
        <v>44979</v>
      </c>
    </row>
    <row r="1347" spans="1:5" x14ac:dyDescent="0.35">
      <c r="A1347" s="51">
        <v>1</v>
      </c>
      <c r="B1347" s="39" t="s">
        <v>2481</v>
      </c>
      <c r="C1347" s="72" t="s">
        <v>1968</v>
      </c>
      <c r="D1347" s="52" t="s">
        <v>282</v>
      </c>
      <c r="E1347" s="69">
        <v>44979</v>
      </c>
    </row>
    <row r="1348" spans="1:5" x14ac:dyDescent="0.35">
      <c r="A1348" s="51">
        <v>1</v>
      </c>
      <c r="B1348" s="39" t="s">
        <v>2482</v>
      </c>
      <c r="C1348" s="72" t="s">
        <v>1968</v>
      </c>
      <c r="D1348" s="52" t="s">
        <v>282</v>
      </c>
      <c r="E1348" s="69">
        <v>44979</v>
      </c>
    </row>
    <row r="1349" spans="1:5" x14ac:dyDescent="0.35">
      <c r="A1349" s="51">
        <v>1</v>
      </c>
      <c r="B1349" s="39" t="s">
        <v>2483</v>
      </c>
      <c r="C1349" s="72" t="s">
        <v>1968</v>
      </c>
      <c r="D1349" s="52" t="s">
        <v>282</v>
      </c>
      <c r="E1349" s="69">
        <v>44979</v>
      </c>
    </row>
    <row r="1350" spans="1:5" x14ac:dyDescent="0.35">
      <c r="A1350" s="51">
        <v>1</v>
      </c>
      <c r="B1350" s="39" t="s">
        <v>2484</v>
      </c>
      <c r="C1350" s="72" t="s">
        <v>1968</v>
      </c>
      <c r="D1350" s="52" t="s">
        <v>282</v>
      </c>
      <c r="E1350" s="69">
        <v>44979</v>
      </c>
    </row>
    <row r="1351" spans="1:5" x14ac:dyDescent="0.35">
      <c r="A1351" s="51">
        <v>1</v>
      </c>
      <c r="B1351" s="39" t="s">
        <v>2444</v>
      </c>
      <c r="C1351" s="71" t="s">
        <v>1970</v>
      </c>
      <c r="D1351" s="52" t="s">
        <v>282</v>
      </c>
      <c r="E1351" s="69">
        <v>44979</v>
      </c>
    </row>
    <row r="1352" spans="1:5" x14ac:dyDescent="0.35">
      <c r="A1352" s="51">
        <v>1</v>
      </c>
      <c r="B1352" s="52" t="s">
        <v>2485</v>
      </c>
      <c r="C1352" s="71" t="s">
        <v>1970</v>
      </c>
      <c r="D1352" s="52" t="s">
        <v>282</v>
      </c>
      <c r="E1352" s="69">
        <v>44979</v>
      </c>
    </row>
    <row r="1353" spans="1:5" x14ac:dyDescent="0.35">
      <c r="A1353" s="51">
        <v>1</v>
      </c>
      <c r="B1353" s="52" t="s">
        <v>2486</v>
      </c>
      <c r="C1353" s="71" t="s">
        <v>1970</v>
      </c>
      <c r="D1353" s="52" t="s">
        <v>282</v>
      </c>
      <c r="E1353" s="69">
        <v>44979</v>
      </c>
    </row>
    <row r="1354" spans="1:5" x14ac:dyDescent="0.35">
      <c r="A1354" s="51">
        <v>1</v>
      </c>
      <c r="B1354" s="30" t="s">
        <v>2428</v>
      </c>
      <c r="C1354" s="71" t="s">
        <v>1970</v>
      </c>
      <c r="D1354" s="52" t="s">
        <v>282</v>
      </c>
      <c r="E1354" s="69">
        <v>44979</v>
      </c>
    </row>
    <row r="1355" spans="1:5" x14ac:dyDescent="0.35">
      <c r="A1355" s="51">
        <v>1</v>
      </c>
      <c r="B1355" s="30" t="s">
        <v>2473</v>
      </c>
      <c r="C1355" s="71" t="s">
        <v>1970</v>
      </c>
      <c r="D1355" s="52" t="s">
        <v>282</v>
      </c>
      <c r="E1355" s="69">
        <v>44979</v>
      </c>
    </row>
    <row r="1356" spans="1:5" x14ac:dyDescent="0.35">
      <c r="A1356" s="51">
        <v>1</v>
      </c>
      <c r="B1356" s="52" t="s">
        <v>2420</v>
      </c>
      <c r="C1356" s="71" t="s">
        <v>1970</v>
      </c>
      <c r="D1356" s="52" t="s">
        <v>282</v>
      </c>
      <c r="E1356" s="69">
        <v>44979</v>
      </c>
    </row>
    <row r="1357" spans="1:5" x14ac:dyDescent="0.35">
      <c r="A1357" s="51">
        <v>1</v>
      </c>
      <c r="B1357" s="52" t="s">
        <v>2479</v>
      </c>
      <c r="C1357" s="71" t="s">
        <v>1970</v>
      </c>
      <c r="D1357" s="52" t="s">
        <v>282</v>
      </c>
      <c r="E1357" s="69">
        <v>44979</v>
      </c>
    </row>
    <row r="1358" spans="1:5" x14ac:dyDescent="0.35">
      <c r="A1358" s="51">
        <v>1</v>
      </c>
      <c r="B1358" s="52" t="s">
        <v>2487</v>
      </c>
      <c r="C1358" s="72" t="s">
        <v>1968</v>
      </c>
      <c r="D1358" s="52" t="s">
        <v>282</v>
      </c>
      <c r="E1358" s="69">
        <v>44979</v>
      </c>
    </row>
    <row r="1359" spans="1:5" x14ac:dyDescent="0.35">
      <c r="A1359" s="51">
        <v>1</v>
      </c>
      <c r="B1359" s="52" t="s">
        <v>2459</v>
      </c>
      <c r="C1359" s="71" t="s">
        <v>1970</v>
      </c>
      <c r="D1359" s="52" t="s">
        <v>282</v>
      </c>
      <c r="E1359" s="69">
        <v>44979</v>
      </c>
    </row>
    <row r="1360" spans="1:5" x14ac:dyDescent="0.35">
      <c r="A1360" s="51">
        <v>1</v>
      </c>
      <c r="B1360" s="52" t="s">
        <v>2488</v>
      </c>
      <c r="C1360" s="72" t="s">
        <v>1968</v>
      </c>
      <c r="D1360" s="52" t="s">
        <v>286</v>
      </c>
      <c r="E1360" s="69">
        <v>44987</v>
      </c>
    </row>
    <row r="1361" spans="1:5" x14ac:dyDescent="0.35">
      <c r="A1361" s="51">
        <v>1</v>
      </c>
      <c r="B1361" s="52" t="s">
        <v>2422</v>
      </c>
      <c r="C1361" s="72" t="s">
        <v>1976</v>
      </c>
      <c r="D1361" s="52" t="s">
        <v>286</v>
      </c>
      <c r="E1361" s="69">
        <v>44987</v>
      </c>
    </row>
    <row r="1362" spans="1:5" x14ac:dyDescent="0.35">
      <c r="A1362" s="51">
        <v>1</v>
      </c>
      <c r="B1362" s="52" t="s">
        <v>2429</v>
      </c>
      <c r="C1362" s="72" t="s">
        <v>1976</v>
      </c>
      <c r="D1362" s="52" t="s">
        <v>286</v>
      </c>
      <c r="E1362" s="69">
        <v>44987</v>
      </c>
    </row>
    <row r="1363" spans="1:5" x14ac:dyDescent="0.35">
      <c r="A1363" s="51">
        <v>1</v>
      </c>
      <c r="B1363" s="52" t="s">
        <v>2439</v>
      </c>
      <c r="C1363" s="72" t="s">
        <v>1976</v>
      </c>
      <c r="D1363" s="52" t="s">
        <v>286</v>
      </c>
      <c r="E1363" s="69">
        <v>44987</v>
      </c>
    </row>
    <row r="1364" spans="1:5" x14ac:dyDescent="0.35">
      <c r="A1364" s="51">
        <v>1</v>
      </c>
      <c r="B1364" s="52" t="s">
        <v>2455</v>
      </c>
      <c r="C1364" s="72" t="s">
        <v>1976</v>
      </c>
      <c r="D1364" s="52" t="s">
        <v>286</v>
      </c>
      <c r="E1364" s="69">
        <v>44987</v>
      </c>
    </row>
    <row r="1365" spans="1:5" x14ac:dyDescent="0.35">
      <c r="A1365" s="51">
        <v>1</v>
      </c>
      <c r="B1365" s="52" t="s">
        <v>2475</v>
      </c>
      <c r="C1365" s="72" t="s">
        <v>1976</v>
      </c>
      <c r="D1365" s="52" t="s">
        <v>286</v>
      </c>
      <c r="E1365" s="69">
        <v>44987</v>
      </c>
    </row>
    <row r="1366" spans="1:5" x14ac:dyDescent="0.35">
      <c r="A1366" s="51">
        <v>1</v>
      </c>
      <c r="B1366" s="52" t="s">
        <v>2481</v>
      </c>
      <c r="C1366" s="72" t="s">
        <v>1976</v>
      </c>
      <c r="D1366" s="52" t="s">
        <v>286</v>
      </c>
      <c r="E1366" s="69">
        <v>44987</v>
      </c>
    </row>
    <row r="1367" spans="1:5" x14ac:dyDescent="0.35">
      <c r="A1367" s="51">
        <v>1</v>
      </c>
      <c r="B1367" s="52" t="s">
        <v>2462</v>
      </c>
      <c r="C1367" s="72" t="s">
        <v>1976</v>
      </c>
      <c r="D1367" s="52" t="s">
        <v>286</v>
      </c>
      <c r="E1367" s="69">
        <v>44987</v>
      </c>
    </row>
    <row r="1368" spans="1:5" hidden="1" x14ac:dyDescent="0.35">
      <c r="A1368">
        <v>1</v>
      </c>
      <c r="B1368" s="110" t="s">
        <v>322</v>
      </c>
      <c r="C1368" s="71" t="s">
        <v>1969</v>
      </c>
      <c r="D1368" s="39" t="s">
        <v>288</v>
      </c>
      <c r="E1368" s="87">
        <v>45001</v>
      </c>
    </row>
    <row r="1369" spans="1:5" x14ac:dyDescent="0.35">
      <c r="A1369">
        <v>1</v>
      </c>
      <c r="B1369" s="39" t="s">
        <v>2477</v>
      </c>
      <c r="C1369" s="72" t="s">
        <v>1976</v>
      </c>
      <c r="D1369" s="39" t="s">
        <v>288</v>
      </c>
      <c r="E1369" s="87">
        <v>45001</v>
      </c>
    </row>
    <row r="1370" spans="1:5" x14ac:dyDescent="0.35">
      <c r="A1370">
        <v>1</v>
      </c>
      <c r="B1370" s="52" t="s">
        <v>2483</v>
      </c>
      <c r="C1370" s="72" t="s">
        <v>1976</v>
      </c>
      <c r="D1370" s="39" t="s">
        <v>288</v>
      </c>
      <c r="E1370" s="87">
        <v>45001</v>
      </c>
    </row>
    <row r="1371" spans="1:5" x14ac:dyDescent="0.35">
      <c r="A1371">
        <v>1</v>
      </c>
      <c r="B1371" s="52" t="s">
        <v>2484</v>
      </c>
      <c r="C1371" s="72" t="s">
        <v>1976</v>
      </c>
      <c r="D1371" s="39" t="s">
        <v>288</v>
      </c>
      <c r="E1371" s="87">
        <v>45001</v>
      </c>
    </row>
    <row r="1372" spans="1:5" x14ac:dyDescent="0.35">
      <c r="A1372">
        <v>1</v>
      </c>
      <c r="B1372" s="86" t="s">
        <v>2225</v>
      </c>
      <c r="C1372" s="71" t="s">
        <v>1970</v>
      </c>
      <c r="D1372" s="39" t="s">
        <v>288</v>
      </c>
      <c r="E1372" s="87">
        <v>45001</v>
      </c>
    </row>
    <row r="1373" spans="1:5" x14ac:dyDescent="0.35">
      <c r="A1373">
        <v>1</v>
      </c>
      <c r="B1373" s="52" t="s">
        <v>2317</v>
      </c>
      <c r="C1373" s="71" t="s">
        <v>1970</v>
      </c>
      <c r="D1373" s="39" t="s">
        <v>288</v>
      </c>
      <c r="E1373" s="87">
        <v>45001</v>
      </c>
    </row>
    <row r="1374" spans="1:5" x14ac:dyDescent="0.35">
      <c r="A1374">
        <v>1</v>
      </c>
      <c r="B1374" s="52" t="s">
        <v>2422</v>
      </c>
      <c r="C1374" s="71" t="s">
        <v>1970</v>
      </c>
      <c r="D1374" s="39" t="s">
        <v>288</v>
      </c>
      <c r="E1374" s="87">
        <v>45001</v>
      </c>
    </row>
    <row r="1375" spans="1:5" x14ac:dyDescent="0.35">
      <c r="A1375">
        <v>1</v>
      </c>
      <c r="B1375" s="52" t="s">
        <v>2439</v>
      </c>
      <c r="C1375" s="71" t="s">
        <v>1970</v>
      </c>
      <c r="D1375" s="39" t="s">
        <v>288</v>
      </c>
      <c r="E1375" s="87">
        <v>45001</v>
      </c>
    </row>
    <row r="1376" spans="1:5" x14ac:dyDescent="0.35">
      <c r="A1376">
        <v>1</v>
      </c>
      <c r="B1376" s="52" t="s">
        <v>2465</v>
      </c>
      <c r="C1376" s="71" t="s">
        <v>1970</v>
      </c>
      <c r="D1376" s="39" t="s">
        <v>288</v>
      </c>
      <c r="E1376" s="87">
        <v>45001</v>
      </c>
    </row>
    <row r="1377" spans="1:5" x14ac:dyDescent="0.35">
      <c r="A1377">
        <v>1</v>
      </c>
      <c r="B1377" s="52" t="s">
        <v>2475</v>
      </c>
      <c r="C1377" s="71" t="s">
        <v>1970</v>
      </c>
      <c r="D1377" s="39" t="s">
        <v>288</v>
      </c>
      <c r="E1377" s="87">
        <v>45001</v>
      </c>
    </row>
    <row r="1378" spans="1:5" x14ac:dyDescent="0.35">
      <c r="A1378">
        <v>1</v>
      </c>
      <c r="B1378" s="52" t="s">
        <v>2481</v>
      </c>
      <c r="C1378" s="71" t="s">
        <v>1970</v>
      </c>
      <c r="D1378" s="39" t="s">
        <v>288</v>
      </c>
      <c r="E1378" s="87">
        <v>45001</v>
      </c>
    </row>
    <row r="1379" spans="1:5" x14ac:dyDescent="0.35">
      <c r="A1379">
        <v>1</v>
      </c>
      <c r="B1379" s="52" t="s">
        <v>2482</v>
      </c>
      <c r="C1379" s="72" t="s">
        <v>1976</v>
      </c>
      <c r="D1379" s="39" t="s">
        <v>288</v>
      </c>
      <c r="E1379" s="87">
        <v>45001</v>
      </c>
    </row>
    <row r="1380" spans="1:5" x14ac:dyDescent="0.35">
      <c r="A1380">
        <v>1</v>
      </c>
      <c r="B1380" s="52" t="s">
        <v>2489</v>
      </c>
      <c r="C1380" s="72" t="s">
        <v>1968</v>
      </c>
      <c r="D1380" s="39" t="s">
        <v>288</v>
      </c>
      <c r="E1380" s="87">
        <v>45001</v>
      </c>
    </row>
    <row r="1381" spans="1:5" x14ac:dyDescent="0.35">
      <c r="A1381">
        <v>1</v>
      </c>
      <c r="B1381" s="52" t="s">
        <v>2490</v>
      </c>
      <c r="C1381" s="72" t="s">
        <v>1968</v>
      </c>
      <c r="D1381" s="39" t="s">
        <v>288</v>
      </c>
      <c r="E1381" s="87">
        <v>45001</v>
      </c>
    </row>
    <row r="1382" spans="1:5" x14ac:dyDescent="0.35">
      <c r="A1382">
        <v>1</v>
      </c>
      <c r="B1382" s="52" t="s">
        <v>2429</v>
      </c>
      <c r="C1382" s="72" t="s">
        <v>1976</v>
      </c>
      <c r="D1382" s="39" t="s">
        <v>288</v>
      </c>
      <c r="E1382" s="87">
        <v>45001</v>
      </c>
    </row>
    <row r="1383" spans="1:5" x14ac:dyDescent="0.35">
      <c r="A1383">
        <v>1</v>
      </c>
      <c r="B1383" s="52" t="s">
        <v>2455</v>
      </c>
      <c r="C1383" s="72" t="s">
        <v>1976</v>
      </c>
      <c r="D1383" s="39" t="s">
        <v>288</v>
      </c>
      <c r="E1383" s="87">
        <v>45001</v>
      </c>
    </row>
    <row r="1384" spans="1:5" x14ac:dyDescent="0.35">
      <c r="A1384">
        <v>1</v>
      </c>
      <c r="B1384" s="52" t="s">
        <v>2491</v>
      </c>
      <c r="C1384" s="72" t="s">
        <v>1968</v>
      </c>
      <c r="D1384" s="39" t="s">
        <v>288</v>
      </c>
      <c r="E1384" s="87">
        <v>45001</v>
      </c>
    </row>
    <row r="1385" spans="1:5" x14ac:dyDescent="0.35">
      <c r="A1385">
        <v>1</v>
      </c>
      <c r="B1385" s="52" t="s">
        <v>2492</v>
      </c>
      <c r="C1385" s="72" t="s">
        <v>1968</v>
      </c>
      <c r="D1385" s="39" t="s">
        <v>288</v>
      </c>
      <c r="E1385" s="87">
        <v>45001</v>
      </c>
    </row>
    <row r="1386" spans="1:5" x14ac:dyDescent="0.35">
      <c r="A1386">
        <v>1</v>
      </c>
      <c r="B1386" s="52" t="s">
        <v>2447</v>
      </c>
      <c r="C1386" s="71" t="s">
        <v>1970</v>
      </c>
      <c r="D1386" s="39" t="s">
        <v>288</v>
      </c>
      <c r="E1386" s="87">
        <v>45001</v>
      </c>
    </row>
    <row r="1387" spans="1:5" x14ac:dyDescent="0.35">
      <c r="A1387">
        <v>1</v>
      </c>
      <c r="B1387" s="52" t="s">
        <v>2441</v>
      </c>
      <c r="C1387" s="71" t="s">
        <v>1970</v>
      </c>
      <c r="D1387" s="39" t="s">
        <v>288</v>
      </c>
      <c r="E1387" s="87">
        <v>45001</v>
      </c>
    </row>
    <row r="1388" spans="1:5" x14ac:dyDescent="0.35">
      <c r="A1388">
        <v>1</v>
      </c>
      <c r="B1388" s="52" t="s">
        <v>2448</v>
      </c>
      <c r="C1388" s="71" t="s">
        <v>1970</v>
      </c>
      <c r="D1388" s="39" t="s">
        <v>288</v>
      </c>
      <c r="E1388" s="87">
        <v>45001</v>
      </c>
    </row>
    <row r="1389" spans="1:5" x14ac:dyDescent="0.35">
      <c r="A1389">
        <v>1</v>
      </c>
      <c r="B1389" s="52" t="s">
        <v>2443</v>
      </c>
      <c r="C1389" s="71" t="s">
        <v>1970</v>
      </c>
      <c r="D1389" s="39" t="s">
        <v>288</v>
      </c>
      <c r="E1389" s="87">
        <v>45001</v>
      </c>
    </row>
    <row r="1390" spans="1:5" x14ac:dyDescent="0.35">
      <c r="A1390">
        <v>1</v>
      </c>
      <c r="B1390" s="52" t="s">
        <v>2468</v>
      </c>
      <c r="C1390" s="71" t="s">
        <v>1970</v>
      </c>
      <c r="D1390" s="39" t="s">
        <v>288</v>
      </c>
      <c r="E1390" s="87">
        <v>45001</v>
      </c>
    </row>
    <row r="1391" spans="1:5" x14ac:dyDescent="0.35">
      <c r="A1391">
        <v>1</v>
      </c>
      <c r="B1391" s="52" t="s">
        <v>2478</v>
      </c>
      <c r="C1391" s="71" t="s">
        <v>1970</v>
      </c>
      <c r="D1391" s="39" t="s">
        <v>288</v>
      </c>
      <c r="E1391" s="87">
        <v>45001</v>
      </c>
    </row>
    <row r="1392" spans="1:5" x14ac:dyDescent="0.35">
      <c r="A1392">
        <v>1</v>
      </c>
      <c r="B1392" s="52" t="s">
        <v>2472</v>
      </c>
      <c r="C1392" s="71" t="s">
        <v>1970</v>
      </c>
      <c r="D1392" s="39" t="s">
        <v>288</v>
      </c>
      <c r="E1392" s="87">
        <v>45001</v>
      </c>
    </row>
    <row r="1393" spans="1:5" x14ac:dyDescent="0.35">
      <c r="A1393" s="51">
        <v>1</v>
      </c>
      <c r="B1393" s="52" t="s">
        <v>2493</v>
      </c>
      <c r="C1393" s="72" t="s">
        <v>1968</v>
      </c>
      <c r="D1393" s="52" t="s">
        <v>292</v>
      </c>
      <c r="E1393" s="69">
        <v>45016</v>
      </c>
    </row>
    <row r="1394" spans="1:5" x14ac:dyDescent="0.35">
      <c r="A1394" s="51">
        <v>1</v>
      </c>
      <c r="B1394" s="52" t="s">
        <v>2494</v>
      </c>
      <c r="C1394" s="72" t="s">
        <v>1968</v>
      </c>
      <c r="D1394" s="52" t="s">
        <v>292</v>
      </c>
      <c r="E1394" s="69">
        <v>45016</v>
      </c>
    </row>
    <row r="1395" spans="1:5" x14ac:dyDescent="0.35">
      <c r="A1395" s="51">
        <v>1</v>
      </c>
      <c r="B1395" s="52" t="s">
        <v>2495</v>
      </c>
      <c r="C1395" s="72" t="s">
        <v>1968</v>
      </c>
      <c r="D1395" s="52" t="s">
        <v>292</v>
      </c>
      <c r="E1395" s="69">
        <v>45016</v>
      </c>
    </row>
    <row r="1396" spans="1:5" x14ac:dyDescent="0.35">
      <c r="A1396" s="51">
        <v>1</v>
      </c>
      <c r="B1396" s="52" t="s">
        <v>2496</v>
      </c>
      <c r="C1396" s="72" t="s">
        <v>1968</v>
      </c>
      <c r="D1396" s="52" t="s">
        <v>292</v>
      </c>
      <c r="E1396" s="69">
        <v>45016</v>
      </c>
    </row>
    <row r="1397" spans="1:5" x14ac:dyDescent="0.35">
      <c r="A1397" s="51">
        <v>1</v>
      </c>
      <c r="B1397" s="52" t="s">
        <v>2497</v>
      </c>
      <c r="C1397" s="72" t="s">
        <v>1968</v>
      </c>
      <c r="D1397" s="52" t="s">
        <v>292</v>
      </c>
      <c r="E1397" s="69">
        <v>45016</v>
      </c>
    </row>
    <row r="1398" spans="1:5" x14ac:dyDescent="0.35">
      <c r="A1398" s="51">
        <v>1</v>
      </c>
      <c r="B1398" s="52" t="s">
        <v>2412</v>
      </c>
      <c r="C1398" s="72" t="s">
        <v>1970</v>
      </c>
      <c r="D1398" s="52" t="s">
        <v>292</v>
      </c>
      <c r="E1398" s="69">
        <v>45016</v>
      </c>
    </row>
    <row r="1399" spans="1:5" x14ac:dyDescent="0.35">
      <c r="A1399" s="51">
        <v>1</v>
      </c>
      <c r="B1399" s="52" t="s">
        <v>2101</v>
      </c>
      <c r="C1399" s="72" t="s">
        <v>1976</v>
      </c>
      <c r="D1399" s="52" t="s">
        <v>292</v>
      </c>
      <c r="E1399" s="69">
        <v>45016</v>
      </c>
    </row>
    <row r="1400" spans="1:5" x14ac:dyDescent="0.35">
      <c r="A1400" s="51">
        <v>1</v>
      </c>
      <c r="B1400" s="52" t="s">
        <v>2498</v>
      </c>
      <c r="C1400" s="72" t="s">
        <v>1976</v>
      </c>
      <c r="D1400" s="52" t="s">
        <v>292</v>
      </c>
      <c r="E1400" s="69">
        <v>45016</v>
      </c>
    </row>
    <row r="1401" spans="1:5" x14ac:dyDescent="0.35">
      <c r="A1401" s="51">
        <v>1</v>
      </c>
      <c r="B1401" s="52" t="s">
        <v>2415</v>
      </c>
      <c r="C1401" s="72" t="s">
        <v>1976</v>
      </c>
      <c r="D1401" s="52" t="s">
        <v>292</v>
      </c>
      <c r="E1401" s="69">
        <v>45016</v>
      </c>
    </row>
    <row r="1402" spans="1:5" x14ac:dyDescent="0.35">
      <c r="A1402" s="51">
        <v>1</v>
      </c>
      <c r="B1402" s="52" t="s">
        <v>2499</v>
      </c>
      <c r="C1402" s="72" t="s">
        <v>1976</v>
      </c>
      <c r="D1402" s="52" t="s">
        <v>292</v>
      </c>
      <c r="E1402" s="69">
        <v>45016</v>
      </c>
    </row>
    <row r="1403" spans="1:5" x14ac:dyDescent="0.35">
      <c r="A1403" s="51">
        <v>1</v>
      </c>
      <c r="B1403" s="52" t="s">
        <v>2500</v>
      </c>
      <c r="C1403" s="72" t="s">
        <v>1976</v>
      </c>
      <c r="D1403" s="52" t="s">
        <v>292</v>
      </c>
      <c r="E1403" s="69">
        <v>45016</v>
      </c>
    </row>
    <row r="1404" spans="1:5" x14ac:dyDescent="0.35">
      <c r="A1404" s="51">
        <v>1</v>
      </c>
      <c r="B1404" s="52" t="s">
        <v>2501</v>
      </c>
      <c r="C1404" s="72" t="s">
        <v>1976</v>
      </c>
      <c r="D1404" s="52" t="s">
        <v>292</v>
      </c>
      <c r="E1404" s="69">
        <v>45016</v>
      </c>
    </row>
    <row r="1405" spans="1:5" x14ac:dyDescent="0.35">
      <c r="A1405">
        <v>1</v>
      </c>
      <c r="B1405" s="39" t="s">
        <v>2502</v>
      </c>
      <c r="C1405" s="71" t="s">
        <v>1976</v>
      </c>
      <c r="D1405" s="39" t="s">
        <v>292</v>
      </c>
      <c r="E1405" s="87">
        <v>45016</v>
      </c>
    </row>
    <row r="1406" spans="1:5" x14ac:dyDescent="0.35">
      <c r="A1406">
        <v>1</v>
      </c>
      <c r="B1406" s="39" t="s">
        <v>2503</v>
      </c>
      <c r="C1406" s="71" t="s">
        <v>1970</v>
      </c>
      <c r="D1406" s="39" t="s">
        <v>292</v>
      </c>
      <c r="E1406" s="87">
        <v>45016</v>
      </c>
    </row>
    <row r="1407" spans="1:5" x14ac:dyDescent="0.35">
      <c r="A1407">
        <v>1</v>
      </c>
      <c r="B1407" s="39" t="s">
        <v>2429</v>
      </c>
      <c r="C1407" s="71" t="s">
        <v>1976</v>
      </c>
      <c r="D1407" s="94" t="s">
        <v>296</v>
      </c>
      <c r="E1407" s="115">
        <v>45029</v>
      </c>
    </row>
    <row r="1408" spans="1:5" ht="15.5" x14ac:dyDescent="0.35">
      <c r="A1408">
        <v>1</v>
      </c>
      <c r="B1408" s="169" t="s">
        <v>2455</v>
      </c>
      <c r="C1408" s="71" t="s">
        <v>1976</v>
      </c>
      <c r="D1408" s="94" t="s">
        <v>296</v>
      </c>
      <c r="E1408" s="115">
        <v>45029</v>
      </c>
    </row>
    <row r="1409" spans="1:5" ht="15.5" x14ac:dyDescent="0.35">
      <c r="A1409">
        <v>1</v>
      </c>
      <c r="B1409" s="169" t="s">
        <v>2477</v>
      </c>
      <c r="C1409" s="71" t="s">
        <v>1976</v>
      </c>
      <c r="D1409" s="94" t="s">
        <v>296</v>
      </c>
      <c r="E1409" s="115">
        <v>45029</v>
      </c>
    </row>
    <row r="1410" spans="1:5" ht="15.5" x14ac:dyDescent="0.35">
      <c r="A1410">
        <v>1</v>
      </c>
      <c r="B1410" s="169" t="s">
        <v>2482</v>
      </c>
      <c r="C1410" s="71" t="s">
        <v>1976</v>
      </c>
      <c r="D1410" s="94" t="s">
        <v>296</v>
      </c>
      <c r="E1410" s="115">
        <v>45029</v>
      </c>
    </row>
    <row r="1411" spans="1:5" ht="15.5" x14ac:dyDescent="0.35">
      <c r="A1411">
        <v>1</v>
      </c>
      <c r="B1411" s="169" t="s">
        <v>2484</v>
      </c>
      <c r="C1411" s="71" t="s">
        <v>1976</v>
      </c>
      <c r="D1411" s="94" t="s">
        <v>296</v>
      </c>
      <c r="E1411" s="115">
        <v>45029</v>
      </c>
    </row>
    <row r="1412" spans="1:5" ht="15.5" x14ac:dyDescent="0.35">
      <c r="A1412">
        <v>1</v>
      </c>
      <c r="B1412" s="169" t="s">
        <v>2487</v>
      </c>
      <c r="C1412" s="71" t="s">
        <v>1976</v>
      </c>
      <c r="D1412" s="94" t="s">
        <v>296</v>
      </c>
      <c r="E1412" s="115">
        <v>45029</v>
      </c>
    </row>
    <row r="1413" spans="1:5" ht="15.5" x14ac:dyDescent="0.35">
      <c r="A1413">
        <v>1</v>
      </c>
      <c r="B1413" s="169" t="s">
        <v>2504</v>
      </c>
      <c r="C1413" s="72" t="s">
        <v>1968</v>
      </c>
      <c r="D1413" s="94" t="s">
        <v>296</v>
      </c>
      <c r="E1413" s="115">
        <v>45029</v>
      </c>
    </row>
    <row r="1414" spans="1:5" ht="15.5" x14ac:dyDescent="0.35">
      <c r="A1414">
        <v>1</v>
      </c>
      <c r="B1414" s="169" t="s">
        <v>2505</v>
      </c>
      <c r="C1414" s="72" t="s">
        <v>1968</v>
      </c>
      <c r="D1414" s="94" t="s">
        <v>296</v>
      </c>
      <c r="E1414" s="115">
        <v>45029</v>
      </c>
    </row>
    <row r="1415" spans="1:5" ht="15.5" x14ac:dyDescent="0.35">
      <c r="A1415">
        <v>1</v>
      </c>
      <c r="B1415" s="169" t="s">
        <v>2483</v>
      </c>
      <c r="C1415" s="71" t="s">
        <v>1976</v>
      </c>
      <c r="D1415" s="94" t="s">
        <v>296</v>
      </c>
      <c r="E1415" s="115">
        <v>45029</v>
      </c>
    </row>
    <row r="1416" spans="1:5" x14ac:dyDescent="0.35">
      <c r="A1416">
        <v>1</v>
      </c>
      <c r="B1416" s="39" t="s">
        <v>2506</v>
      </c>
      <c r="C1416" s="72" t="s">
        <v>1968</v>
      </c>
      <c r="D1416" s="94" t="s">
        <v>300</v>
      </c>
      <c r="E1416" s="115">
        <v>45036</v>
      </c>
    </row>
    <row r="1417" spans="1:5" x14ac:dyDescent="0.35">
      <c r="A1417">
        <v>1</v>
      </c>
      <c r="B1417" s="39" t="s">
        <v>2429</v>
      </c>
      <c r="C1417" s="71" t="s">
        <v>1970</v>
      </c>
      <c r="D1417" s="94" t="s">
        <v>300</v>
      </c>
      <c r="E1417" s="115">
        <v>45036</v>
      </c>
    </row>
    <row r="1418" spans="1:5" ht="15.5" x14ac:dyDescent="0.35">
      <c r="A1418">
        <v>1</v>
      </c>
      <c r="B1418" s="169" t="s">
        <v>2455</v>
      </c>
      <c r="C1418" s="71" t="s">
        <v>1970</v>
      </c>
      <c r="D1418" s="94" t="s">
        <v>300</v>
      </c>
      <c r="E1418" s="115">
        <v>45036</v>
      </c>
    </row>
    <row r="1419" spans="1:5" ht="15.5" x14ac:dyDescent="0.35">
      <c r="A1419">
        <v>1</v>
      </c>
      <c r="B1419" s="169" t="s">
        <v>2477</v>
      </c>
      <c r="C1419" s="71" t="s">
        <v>1970</v>
      </c>
      <c r="D1419" s="94" t="s">
        <v>300</v>
      </c>
      <c r="E1419" s="115">
        <v>45036</v>
      </c>
    </row>
    <row r="1420" spans="1:5" ht="15.5" x14ac:dyDescent="0.35">
      <c r="A1420">
        <v>1</v>
      </c>
      <c r="B1420" s="169" t="s">
        <v>2482</v>
      </c>
      <c r="C1420" s="71" t="s">
        <v>1970</v>
      </c>
      <c r="D1420" s="94" t="s">
        <v>300</v>
      </c>
      <c r="E1420" s="115">
        <v>45036</v>
      </c>
    </row>
    <row r="1421" spans="1:5" ht="15.5" x14ac:dyDescent="0.35">
      <c r="A1421">
        <v>1</v>
      </c>
      <c r="B1421" s="169" t="s">
        <v>2484</v>
      </c>
      <c r="C1421" s="71" t="s">
        <v>1970</v>
      </c>
      <c r="D1421" s="94" t="s">
        <v>300</v>
      </c>
      <c r="E1421" s="115">
        <v>45036</v>
      </c>
    </row>
    <row r="1422" spans="1:5" ht="15.5" x14ac:dyDescent="0.35">
      <c r="A1422">
        <v>1</v>
      </c>
      <c r="B1422" s="169" t="s">
        <v>2487</v>
      </c>
      <c r="C1422" s="71" t="s">
        <v>1970</v>
      </c>
      <c r="D1422" s="94" t="s">
        <v>300</v>
      </c>
      <c r="E1422" s="115">
        <v>45036</v>
      </c>
    </row>
    <row r="1423" spans="1:5" ht="15.5" x14ac:dyDescent="0.35">
      <c r="A1423">
        <v>1</v>
      </c>
      <c r="B1423" s="169" t="s">
        <v>2507</v>
      </c>
      <c r="C1423" s="71" t="s">
        <v>1970</v>
      </c>
      <c r="D1423" s="94" t="s">
        <v>300</v>
      </c>
      <c r="E1423" s="115">
        <v>45036</v>
      </c>
    </row>
    <row r="1424" spans="1:5" x14ac:dyDescent="0.35">
      <c r="A1424">
        <v>1</v>
      </c>
      <c r="B1424" s="52" t="s">
        <v>2421</v>
      </c>
      <c r="C1424" s="71" t="s">
        <v>1976</v>
      </c>
      <c r="D1424" s="94" t="s">
        <v>300</v>
      </c>
      <c r="E1424" s="115">
        <v>45036</v>
      </c>
    </row>
    <row r="1425" spans="1:5" x14ac:dyDescent="0.35">
      <c r="A1425">
        <v>1</v>
      </c>
      <c r="B1425" s="52" t="s">
        <v>2423</v>
      </c>
      <c r="C1425" s="71" t="s">
        <v>1976</v>
      </c>
      <c r="D1425" s="94" t="s">
        <v>300</v>
      </c>
      <c r="E1425" s="115">
        <v>45036</v>
      </c>
    </row>
    <row r="1426" spans="1:5" x14ac:dyDescent="0.35">
      <c r="A1426">
        <v>1</v>
      </c>
      <c r="B1426" s="52" t="s">
        <v>2462</v>
      </c>
      <c r="C1426" s="71" t="s">
        <v>1976</v>
      </c>
      <c r="D1426" s="94" t="s">
        <v>300</v>
      </c>
      <c r="E1426" s="115">
        <v>45036</v>
      </c>
    </row>
    <row r="1427" spans="1:5" x14ac:dyDescent="0.35">
      <c r="A1427">
        <v>1</v>
      </c>
      <c r="B1427" s="52" t="s">
        <v>2470</v>
      </c>
      <c r="C1427" s="71" t="s">
        <v>1976</v>
      </c>
      <c r="D1427" s="94" t="s">
        <v>300</v>
      </c>
      <c r="E1427" s="115">
        <v>45036</v>
      </c>
    </row>
    <row r="1428" spans="1:5" x14ac:dyDescent="0.35">
      <c r="A1428">
        <v>1</v>
      </c>
      <c r="B1428" s="52" t="s">
        <v>2474</v>
      </c>
      <c r="C1428" s="71" t="s">
        <v>1976</v>
      </c>
      <c r="D1428" s="94" t="s">
        <v>300</v>
      </c>
      <c r="E1428" s="115">
        <v>45036</v>
      </c>
    </row>
    <row r="1429" spans="1:5" x14ac:dyDescent="0.35">
      <c r="A1429">
        <v>1</v>
      </c>
      <c r="B1429" s="52" t="s">
        <v>2476</v>
      </c>
      <c r="C1429" s="71" t="s">
        <v>1976</v>
      </c>
      <c r="D1429" s="94" t="s">
        <v>300</v>
      </c>
      <c r="E1429" s="115">
        <v>45036</v>
      </c>
    </row>
    <row r="1430" spans="1:5" x14ac:dyDescent="0.35">
      <c r="A1430">
        <v>1</v>
      </c>
      <c r="B1430" s="52" t="s">
        <v>2490</v>
      </c>
      <c r="C1430" s="71" t="s">
        <v>1976</v>
      </c>
      <c r="D1430" s="94" t="s">
        <v>300</v>
      </c>
      <c r="E1430" s="115">
        <v>45036</v>
      </c>
    </row>
    <row r="1431" spans="1:5" x14ac:dyDescent="0.35">
      <c r="A1431">
        <v>1</v>
      </c>
      <c r="B1431" s="52" t="s">
        <v>2495</v>
      </c>
      <c r="C1431" s="71" t="s">
        <v>1976</v>
      </c>
      <c r="D1431" s="94" t="s">
        <v>300</v>
      </c>
      <c r="E1431" s="115">
        <v>45036</v>
      </c>
    </row>
    <row r="1432" spans="1:5" x14ac:dyDescent="0.35">
      <c r="A1432">
        <v>1</v>
      </c>
      <c r="B1432" s="39" t="s">
        <v>2508</v>
      </c>
      <c r="C1432" s="72" t="s">
        <v>1968</v>
      </c>
      <c r="D1432" s="94" t="s">
        <v>300</v>
      </c>
      <c r="E1432" s="115">
        <v>45036</v>
      </c>
    </row>
    <row r="1433" spans="1:5" x14ac:dyDescent="0.35">
      <c r="A1433">
        <v>1</v>
      </c>
      <c r="B1433" s="39" t="s">
        <v>2509</v>
      </c>
      <c r="C1433" s="72" t="s">
        <v>1968</v>
      </c>
      <c r="D1433" s="94" t="s">
        <v>300</v>
      </c>
      <c r="E1433" s="115">
        <v>45036</v>
      </c>
    </row>
    <row r="1434" spans="1:5" x14ac:dyDescent="0.35">
      <c r="A1434">
        <v>1</v>
      </c>
      <c r="B1434" s="39" t="s">
        <v>2427</v>
      </c>
      <c r="C1434" s="71" t="s">
        <v>1970</v>
      </c>
      <c r="D1434" s="94" t="s">
        <v>303</v>
      </c>
      <c r="E1434" s="115">
        <v>45043</v>
      </c>
    </row>
    <row r="1435" spans="1:5" x14ac:dyDescent="0.35">
      <c r="A1435">
        <v>1</v>
      </c>
      <c r="B1435" s="39" t="s">
        <v>2220</v>
      </c>
      <c r="C1435" s="71" t="s">
        <v>1970</v>
      </c>
      <c r="D1435" s="94" t="s">
        <v>303</v>
      </c>
      <c r="E1435" s="115">
        <v>45043</v>
      </c>
    </row>
    <row r="1436" spans="1:5" x14ac:dyDescent="0.35">
      <c r="A1436">
        <v>1</v>
      </c>
      <c r="B1436" s="39" t="s">
        <v>2360</v>
      </c>
      <c r="C1436" s="71" t="s">
        <v>1970</v>
      </c>
      <c r="D1436" s="94" t="s">
        <v>303</v>
      </c>
      <c r="E1436" s="115">
        <v>45043</v>
      </c>
    </row>
    <row r="1437" spans="1:5" x14ac:dyDescent="0.35">
      <c r="A1437" s="51">
        <v>1</v>
      </c>
      <c r="B1437" s="52" t="s">
        <v>2354</v>
      </c>
      <c r="C1437" s="72" t="s">
        <v>1970</v>
      </c>
      <c r="D1437" s="94" t="s">
        <v>303</v>
      </c>
      <c r="E1437" s="115">
        <v>45043</v>
      </c>
    </row>
    <row r="1438" spans="1:5" x14ac:dyDescent="0.35">
      <c r="A1438" s="51">
        <v>1</v>
      </c>
      <c r="B1438" s="52" t="s">
        <v>2510</v>
      </c>
      <c r="C1438" s="72" t="s">
        <v>1970</v>
      </c>
      <c r="D1438" s="94" t="s">
        <v>303</v>
      </c>
      <c r="E1438" s="115">
        <v>45043</v>
      </c>
    </row>
    <row r="1439" spans="1:5" x14ac:dyDescent="0.35">
      <c r="A1439" s="51">
        <v>1</v>
      </c>
      <c r="B1439" s="52" t="s">
        <v>2470</v>
      </c>
      <c r="C1439" s="72" t="s">
        <v>1970</v>
      </c>
      <c r="D1439" s="52" t="s">
        <v>305</v>
      </c>
      <c r="E1439" s="69">
        <v>45057</v>
      </c>
    </row>
    <row r="1440" spans="1:5" x14ac:dyDescent="0.35">
      <c r="A1440" s="51">
        <v>1</v>
      </c>
      <c r="B1440" s="52" t="s">
        <v>2511</v>
      </c>
      <c r="C1440" s="72" t="s">
        <v>1968</v>
      </c>
      <c r="D1440" s="52" t="s">
        <v>306</v>
      </c>
      <c r="E1440" s="69">
        <v>45071</v>
      </c>
    </row>
    <row r="1441" spans="1:5" x14ac:dyDescent="0.35">
      <c r="A1441" s="51">
        <v>1</v>
      </c>
      <c r="B1441" s="52" t="s">
        <v>2512</v>
      </c>
      <c r="C1441" s="72" t="s">
        <v>1968</v>
      </c>
      <c r="D1441" s="52" t="s">
        <v>306</v>
      </c>
      <c r="E1441" s="69">
        <v>45071</v>
      </c>
    </row>
    <row r="1442" spans="1:5" x14ac:dyDescent="0.35">
      <c r="A1442" s="51">
        <v>1</v>
      </c>
      <c r="B1442" s="52" t="s">
        <v>2513</v>
      </c>
      <c r="C1442" s="72" t="s">
        <v>1968</v>
      </c>
      <c r="D1442" s="52" t="s">
        <v>306</v>
      </c>
      <c r="E1442" s="69">
        <v>45071</v>
      </c>
    </row>
    <row r="1443" spans="1:5" x14ac:dyDescent="0.35">
      <c r="A1443" s="51">
        <v>1</v>
      </c>
      <c r="B1443" s="55" t="s">
        <v>2514</v>
      </c>
      <c r="C1443" s="72" t="s">
        <v>1968</v>
      </c>
      <c r="D1443" s="52" t="s">
        <v>306</v>
      </c>
      <c r="E1443" s="69">
        <v>45071</v>
      </c>
    </row>
    <row r="1444" spans="1:5" x14ac:dyDescent="0.35">
      <c r="A1444" s="51">
        <v>1</v>
      </c>
      <c r="B1444" s="39" t="s">
        <v>2515</v>
      </c>
      <c r="C1444" s="72" t="s">
        <v>1968</v>
      </c>
      <c r="D1444" s="52" t="s">
        <v>306</v>
      </c>
      <c r="E1444" s="69">
        <v>45071</v>
      </c>
    </row>
    <row r="1445" spans="1:5" x14ac:dyDescent="0.35">
      <c r="A1445" s="51">
        <v>1</v>
      </c>
      <c r="B1445" s="39" t="s">
        <v>2516</v>
      </c>
      <c r="C1445" s="72" t="s">
        <v>1968</v>
      </c>
      <c r="D1445" s="52" t="s">
        <v>306</v>
      </c>
      <c r="E1445" s="69">
        <v>45071</v>
      </c>
    </row>
    <row r="1446" spans="1:5" x14ac:dyDescent="0.35">
      <c r="A1446" s="99">
        <v>1</v>
      </c>
      <c r="B1446" s="39" t="s">
        <v>2517</v>
      </c>
      <c r="C1446" s="71" t="s">
        <v>1968</v>
      </c>
      <c r="D1446" s="52" t="s">
        <v>306</v>
      </c>
      <c r="E1446" s="69">
        <v>45071</v>
      </c>
    </row>
    <row r="1447" spans="1:5" x14ac:dyDescent="0.35">
      <c r="A1447" s="99">
        <v>1</v>
      </c>
      <c r="B1447" s="39" t="s">
        <v>2518</v>
      </c>
      <c r="C1447" s="71" t="s">
        <v>1968</v>
      </c>
      <c r="D1447" s="52" t="s">
        <v>306</v>
      </c>
      <c r="E1447" s="69">
        <v>45071</v>
      </c>
    </row>
    <row r="1448" spans="1:5" x14ac:dyDescent="0.35">
      <c r="A1448" s="99">
        <v>1</v>
      </c>
      <c r="B1448" s="39" t="s">
        <v>1959</v>
      </c>
      <c r="C1448" s="71" t="s">
        <v>1968</v>
      </c>
      <c r="D1448" s="52" t="s">
        <v>306</v>
      </c>
      <c r="E1448" s="69">
        <v>45071</v>
      </c>
    </row>
    <row r="1449" spans="1:5" x14ac:dyDescent="0.35">
      <c r="A1449" s="99">
        <v>1</v>
      </c>
      <c r="B1449" s="39" t="s">
        <v>491</v>
      </c>
      <c r="C1449" s="71" t="s">
        <v>1968</v>
      </c>
      <c r="D1449" s="52" t="s">
        <v>306</v>
      </c>
      <c r="E1449" s="69">
        <v>45071</v>
      </c>
    </row>
    <row r="1450" spans="1:5" x14ac:dyDescent="0.35">
      <c r="A1450" s="99">
        <v>1</v>
      </c>
      <c r="B1450" s="39" t="s">
        <v>2519</v>
      </c>
      <c r="C1450" s="71" t="s">
        <v>1968</v>
      </c>
      <c r="D1450" s="39" t="s">
        <v>2520</v>
      </c>
      <c r="E1450" s="87">
        <v>45085</v>
      </c>
    </row>
    <row r="1451" spans="1:5" x14ac:dyDescent="0.35">
      <c r="A1451" s="99">
        <v>1</v>
      </c>
      <c r="B1451" s="39" t="s">
        <v>2521</v>
      </c>
      <c r="C1451" s="71" t="s">
        <v>1968</v>
      </c>
      <c r="D1451" s="39" t="s">
        <v>2520</v>
      </c>
      <c r="E1451" s="87">
        <v>45085</v>
      </c>
    </row>
    <row r="1452" spans="1:5" x14ac:dyDescent="0.35">
      <c r="A1452">
        <v>1</v>
      </c>
      <c r="B1452" s="39" t="s">
        <v>2522</v>
      </c>
      <c r="C1452" s="71" t="s">
        <v>1968</v>
      </c>
      <c r="D1452" s="39" t="s">
        <v>2520</v>
      </c>
      <c r="E1452" s="87">
        <v>45085</v>
      </c>
    </row>
    <row r="1453" spans="1:5" x14ac:dyDescent="0.35">
      <c r="A1453">
        <v>1</v>
      </c>
      <c r="B1453" s="39" t="s">
        <v>2523</v>
      </c>
      <c r="C1453" s="71" t="s">
        <v>1968</v>
      </c>
      <c r="D1453" s="39" t="s">
        <v>2520</v>
      </c>
      <c r="E1453" s="87">
        <v>45085</v>
      </c>
    </row>
    <row r="1454" spans="1:5" x14ac:dyDescent="0.35">
      <c r="A1454">
        <v>1</v>
      </c>
      <c r="B1454" s="39" t="s">
        <v>2524</v>
      </c>
      <c r="C1454" s="71" t="s">
        <v>1968</v>
      </c>
      <c r="D1454" s="39" t="s">
        <v>2520</v>
      </c>
      <c r="E1454" s="87">
        <v>45085</v>
      </c>
    </row>
    <row r="1455" spans="1:5" x14ac:dyDescent="0.35">
      <c r="A1455">
        <v>1</v>
      </c>
      <c r="B1455" s="39" t="s">
        <v>2525</v>
      </c>
      <c r="C1455" s="71" t="s">
        <v>1968</v>
      </c>
      <c r="D1455" s="39" t="s">
        <v>2520</v>
      </c>
      <c r="E1455" s="87">
        <v>45085</v>
      </c>
    </row>
    <row r="1456" spans="1:5" x14ac:dyDescent="0.35">
      <c r="A1456">
        <v>1</v>
      </c>
      <c r="B1456" s="39" t="s">
        <v>2526</v>
      </c>
      <c r="C1456" s="71" t="s">
        <v>1968</v>
      </c>
      <c r="D1456" s="39" t="s">
        <v>2520</v>
      </c>
      <c r="E1456" s="87">
        <v>45085</v>
      </c>
    </row>
    <row r="1457" spans="1:5" x14ac:dyDescent="0.35">
      <c r="A1457">
        <v>1</v>
      </c>
      <c r="B1457" s="39" t="s">
        <v>2466</v>
      </c>
      <c r="C1457" s="71" t="s">
        <v>1975</v>
      </c>
      <c r="D1457" s="39" t="s">
        <v>2520</v>
      </c>
      <c r="E1457" s="87">
        <v>45085</v>
      </c>
    </row>
    <row r="1458" spans="1:5" x14ac:dyDescent="0.35">
      <c r="A1458">
        <v>1</v>
      </c>
      <c r="B1458" s="39" t="s">
        <v>2527</v>
      </c>
      <c r="C1458" s="71" t="s">
        <v>1968</v>
      </c>
      <c r="D1458" s="39" t="s">
        <v>2528</v>
      </c>
      <c r="E1458" s="87">
        <v>45092</v>
      </c>
    </row>
    <row r="1459" spans="1:5" x14ac:dyDescent="0.35">
      <c r="A1459">
        <v>1</v>
      </c>
      <c r="B1459" s="39" t="s">
        <v>2529</v>
      </c>
      <c r="C1459" s="71" t="s">
        <v>1968</v>
      </c>
      <c r="D1459" s="39" t="s">
        <v>2528</v>
      </c>
      <c r="E1459" s="87">
        <v>45092</v>
      </c>
    </row>
    <row r="1460" spans="1:5" x14ac:dyDescent="0.35">
      <c r="A1460">
        <v>1</v>
      </c>
      <c r="B1460" s="39" t="s">
        <v>2530</v>
      </c>
      <c r="C1460" s="71" t="s">
        <v>1968</v>
      </c>
      <c r="D1460" s="39" t="s">
        <v>2528</v>
      </c>
      <c r="E1460" s="87">
        <v>45092</v>
      </c>
    </row>
    <row r="1461" spans="1:5" x14ac:dyDescent="0.35">
      <c r="A1461">
        <v>1</v>
      </c>
      <c r="B1461" s="39" t="s">
        <v>2415</v>
      </c>
      <c r="C1461" s="71" t="s">
        <v>1970</v>
      </c>
      <c r="D1461" s="39" t="s">
        <v>2528</v>
      </c>
      <c r="E1461" s="87">
        <v>45092</v>
      </c>
    </row>
    <row r="1462" spans="1:5" x14ac:dyDescent="0.35">
      <c r="A1462">
        <v>1</v>
      </c>
      <c r="B1462" s="39" t="s">
        <v>2421</v>
      </c>
      <c r="C1462" s="71" t="s">
        <v>1970</v>
      </c>
      <c r="D1462" s="39" t="s">
        <v>2528</v>
      </c>
      <c r="E1462" s="87">
        <v>45092</v>
      </c>
    </row>
    <row r="1463" spans="1:5" x14ac:dyDescent="0.35">
      <c r="A1463">
        <v>1</v>
      </c>
      <c r="B1463" s="39" t="s">
        <v>2423</v>
      </c>
      <c r="C1463" s="71" t="s">
        <v>1970</v>
      </c>
      <c r="D1463" s="39" t="s">
        <v>2528</v>
      </c>
      <c r="E1463" s="87">
        <v>45092</v>
      </c>
    </row>
    <row r="1464" spans="1:5" x14ac:dyDescent="0.35">
      <c r="A1464">
        <v>1</v>
      </c>
      <c r="B1464" s="39" t="s">
        <v>2462</v>
      </c>
      <c r="C1464" s="71" t="s">
        <v>1970</v>
      </c>
      <c r="D1464" s="39" t="s">
        <v>2528</v>
      </c>
      <c r="E1464" s="87">
        <v>45092</v>
      </c>
    </row>
    <row r="1465" spans="1:5" x14ac:dyDescent="0.35">
      <c r="A1465">
        <v>1</v>
      </c>
      <c r="B1465" s="39" t="s">
        <v>2474</v>
      </c>
      <c r="C1465" s="71" t="s">
        <v>1970</v>
      </c>
      <c r="D1465" s="39" t="s">
        <v>2528</v>
      </c>
      <c r="E1465" s="87">
        <v>45092</v>
      </c>
    </row>
    <row r="1466" spans="1:5" x14ac:dyDescent="0.35">
      <c r="A1466">
        <v>1</v>
      </c>
      <c r="B1466" s="39" t="s">
        <v>2476</v>
      </c>
      <c r="C1466" s="71" t="s">
        <v>1970</v>
      </c>
      <c r="D1466" s="39" t="s">
        <v>2528</v>
      </c>
      <c r="E1466" s="87">
        <v>45092</v>
      </c>
    </row>
    <row r="1467" spans="1:5" x14ac:dyDescent="0.35">
      <c r="A1467">
        <v>1</v>
      </c>
      <c r="B1467" s="39" t="s">
        <v>2490</v>
      </c>
      <c r="C1467" s="71" t="s">
        <v>1970</v>
      </c>
      <c r="D1467" s="39" t="s">
        <v>2528</v>
      </c>
      <c r="E1467" s="87">
        <v>45092</v>
      </c>
    </row>
    <row r="1468" spans="1:5" x14ac:dyDescent="0.35">
      <c r="A1468">
        <v>1</v>
      </c>
      <c r="B1468" s="39" t="s">
        <v>2492</v>
      </c>
      <c r="C1468" s="71" t="s">
        <v>1970</v>
      </c>
      <c r="D1468" s="39" t="s">
        <v>2528</v>
      </c>
      <c r="E1468" s="87">
        <v>45092</v>
      </c>
    </row>
    <row r="1469" spans="1:5" x14ac:dyDescent="0.35">
      <c r="A1469">
        <v>1</v>
      </c>
      <c r="B1469" s="39" t="s">
        <v>2494</v>
      </c>
      <c r="C1469" s="71" t="s">
        <v>1970</v>
      </c>
      <c r="D1469" s="39" t="s">
        <v>2528</v>
      </c>
      <c r="E1469" s="87">
        <v>45092</v>
      </c>
    </row>
    <row r="1470" spans="1:5" x14ac:dyDescent="0.35">
      <c r="A1470">
        <v>1</v>
      </c>
      <c r="B1470" s="39" t="s">
        <v>2495</v>
      </c>
      <c r="C1470" s="71" t="s">
        <v>1970</v>
      </c>
      <c r="D1470" s="39" t="s">
        <v>2528</v>
      </c>
      <c r="E1470" s="87">
        <v>45092</v>
      </c>
    </row>
    <row r="1471" spans="1:5" x14ac:dyDescent="0.35">
      <c r="A1471">
        <v>1</v>
      </c>
      <c r="B1471" s="39" t="s">
        <v>2496</v>
      </c>
      <c r="C1471" s="71" t="s">
        <v>1970</v>
      </c>
      <c r="D1471" s="39" t="s">
        <v>2528</v>
      </c>
      <c r="E1471" s="87">
        <v>45092</v>
      </c>
    </row>
    <row r="1472" spans="1:5" x14ac:dyDescent="0.35">
      <c r="A1472">
        <v>1</v>
      </c>
      <c r="B1472" s="39" t="s">
        <v>2506</v>
      </c>
      <c r="C1472" s="71" t="s">
        <v>1970</v>
      </c>
      <c r="D1472" s="39" t="s">
        <v>2528</v>
      </c>
      <c r="E1472" s="87">
        <v>45092</v>
      </c>
    </row>
    <row r="1473" spans="1:5" x14ac:dyDescent="0.35">
      <c r="A1473">
        <v>1</v>
      </c>
      <c r="B1473" s="39" t="s">
        <v>2508</v>
      </c>
      <c r="C1473" s="71" t="s">
        <v>1970</v>
      </c>
      <c r="D1473" s="39" t="s">
        <v>2528</v>
      </c>
      <c r="E1473" s="87">
        <v>45092</v>
      </c>
    </row>
    <row r="1474" spans="1:5" x14ac:dyDescent="0.35">
      <c r="A1474">
        <v>1</v>
      </c>
      <c r="B1474" s="39" t="s">
        <v>2514</v>
      </c>
      <c r="C1474" s="71" t="s">
        <v>1970</v>
      </c>
      <c r="D1474" s="39" t="s">
        <v>2528</v>
      </c>
      <c r="E1474" s="87">
        <v>45092</v>
      </c>
    </row>
    <row r="1475" spans="1:5" x14ac:dyDescent="0.35">
      <c r="A1475">
        <v>1</v>
      </c>
      <c r="B1475" s="39" t="s">
        <v>2515</v>
      </c>
      <c r="C1475" s="71" t="s">
        <v>1970</v>
      </c>
      <c r="D1475" s="39" t="s">
        <v>2528</v>
      </c>
      <c r="E1475" s="87">
        <v>45092</v>
      </c>
    </row>
    <row r="1476" spans="1:5" x14ac:dyDescent="0.35">
      <c r="A1476">
        <v>1</v>
      </c>
      <c r="B1476" s="39" t="s">
        <v>2516</v>
      </c>
      <c r="C1476" s="71" t="s">
        <v>1970</v>
      </c>
      <c r="D1476" s="39" t="s">
        <v>2528</v>
      </c>
      <c r="E1476" s="87">
        <v>45092</v>
      </c>
    </row>
    <row r="1477" spans="1:5" x14ac:dyDescent="0.35">
      <c r="A1477">
        <v>1</v>
      </c>
      <c r="B1477" s="39" t="s">
        <v>2521</v>
      </c>
      <c r="C1477" s="71" t="s">
        <v>1970</v>
      </c>
      <c r="D1477" s="39" t="s">
        <v>2528</v>
      </c>
      <c r="E1477" s="87">
        <v>45092</v>
      </c>
    </row>
    <row r="1478" spans="1:5" x14ac:dyDescent="0.35">
      <c r="A1478">
        <v>1</v>
      </c>
      <c r="B1478" s="39" t="s">
        <v>2531</v>
      </c>
      <c r="C1478" s="71" t="s">
        <v>1968</v>
      </c>
      <c r="D1478" s="39" t="s">
        <v>2532</v>
      </c>
      <c r="E1478" s="87">
        <v>45099</v>
      </c>
    </row>
    <row r="1479" spans="1:5" x14ac:dyDescent="0.35">
      <c r="A1479">
        <v>1</v>
      </c>
      <c r="B1479" s="39" t="s">
        <v>2533</v>
      </c>
      <c r="C1479" s="71" t="s">
        <v>1968</v>
      </c>
      <c r="D1479" s="39" t="s">
        <v>2532</v>
      </c>
      <c r="E1479" s="87">
        <v>45099</v>
      </c>
    </row>
    <row r="1480" spans="1:5" x14ac:dyDescent="0.35">
      <c r="A1480">
        <v>1</v>
      </c>
      <c r="B1480" s="39" t="s">
        <v>2511</v>
      </c>
      <c r="C1480" s="71" t="s">
        <v>1976</v>
      </c>
      <c r="D1480" s="39" t="s">
        <v>2532</v>
      </c>
      <c r="E1480" s="87">
        <v>45099</v>
      </c>
    </row>
    <row r="1481" spans="1:5" x14ac:dyDescent="0.35">
      <c r="A1481">
        <v>1</v>
      </c>
      <c r="B1481" s="39" t="s">
        <v>2518</v>
      </c>
      <c r="C1481" s="71" t="s">
        <v>1976</v>
      </c>
      <c r="D1481" s="39" t="s">
        <v>2532</v>
      </c>
      <c r="E1481" s="87">
        <v>45099</v>
      </c>
    </row>
    <row r="1482" spans="1:5" x14ac:dyDescent="0.35">
      <c r="A1482">
        <v>1</v>
      </c>
      <c r="B1482" s="39" t="s">
        <v>2523</v>
      </c>
      <c r="C1482" s="71" t="s">
        <v>1976</v>
      </c>
      <c r="D1482" s="39" t="s">
        <v>2532</v>
      </c>
      <c r="E1482" s="87">
        <v>45099</v>
      </c>
    </row>
    <row r="1483" spans="1:5" x14ac:dyDescent="0.35">
      <c r="A1483">
        <v>1</v>
      </c>
      <c r="B1483" s="39" t="s">
        <v>2518</v>
      </c>
      <c r="C1483" s="71" t="s">
        <v>1976</v>
      </c>
      <c r="D1483" s="39" t="s">
        <v>2534</v>
      </c>
      <c r="E1483" s="87">
        <v>45113</v>
      </c>
    </row>
    <row r="1484" spans="1:5" x14ac:dyDescent="0.35">
      <c r="A1484">
        <v>1</v>
      </c>
      <c r="B1484" s="39" t="s">
        <v>2535</v>
      </c>
      <c r="C1484" s="71" t="s">
        <v>1968</v>
      </c>
      <c r="D1484" s="39" t="s">
        <v>2534</v>
      </c>
      <c r="E1484" s="87">
        <v>45113</v>
      </c>
    </row>
    <row r="1485" spans="1:5" x14ac:dyDescent="0.35">
      <c r="A1485">
        <v>1</v>
      </c>
      <c r="B1485" s="39" t="s">
        <v>2523</v>
      </c>
      <c r="C1485" s="71" t="s">
        <v>1976</v>
      </c>
      <c r="D1485" s="39" t="s">
        <v>2534</v>
      </c>
      <c r="E1485" s="87">
        <v>45113</v>
      </c>
    </row>
    <row r="1486" spans="1:5" x14ac:dyDescent="0.35">
      <c r="A1486">
        <v>1</v>
      </c>
      <c r="B1486" s="39" t="s">
        <v>2511</v>
      </c>
      <c r="C1486" s="71" t="s">
        <v>1976</v>
      </c>
      <c r="D1486" s="39" t="s">
        <v>2534</v>
      </c>
      <c r="E1486" s="87">
        <v>45113</v>
      </c>
    </row>
    <row r="1487" spans="1:5" x14ac:dyDescent="0.35">
      <c r="A1487">
        <v>1</v>
      </c>
      <c r="B1487" s="39" t="s">
        <v>2536</v>
      </c>
      <c r="C1487" s="71" t="s">
        <v>1968</v>
      </c>
      <c r="D1487" s="39" t="s">
        <v>2534</v>
      </c>
      <c r="E1487" s="87">
        <v>45113</v>
      </c>
    </row>
    <row r="1488" spans="1:5" x14ac:dyDescent="0.35">
      <c r="A1488">
        <v>1</v>
      </c>
      <c r="B1488" s="39" t="s">
        <v>2537</v>
      </c>
      <c r="C1488" s="71" t="s">
        <v>1968</v>
      </c>
      <c r="D1488" s="39" t="s">
        <v>2534</v>
      </c>
      <c r="E1488" s="87">
        <v>45113</v>
      </c>
    </row>
    <row r="1489" spans="1:8" x14ac:dyDescent="0.35">
      <c r="A1489">
        <v>1</v>
      </c>
      <c r="B1489" s="39" t="s">
        <v>2538</v>
      </c>
      <c r="C1489" s="71" t="s">
        <v>1968</v>
      </c>
      <c r="D1489" s="39" t="s">
        <v>2534</v>
      </c>
      <c r="E1489" s="87">
        <v>45113</v>
      </c>
    </row>
    <row r="1490" spans="1:8" x14ac:dyDescent="0.35">
      <c r="A1490">
        <v>1</v>
      </c>
      <c r="B1490" s="39" t="s">
        <v>2438</v>
      </c>
      <c r="C1490" s="71" t="s">
        <v>1976</v>
      </c>
      <c r="D1490" s="39" t="s">
        <v>2534</v>
      </c>
      <c r="E1490" s="87">
        <v>45113</v>
      </c>
    </row>
    <row r="1491" spans="1:8" x14ac:dyDescent="0.35">
      <c r="A1491">
        <v>1</v>
      </c>
      <c r="B1491" s="39" t="s">
        <v>2539</v>
      </c>
      <c r="C1491" s="71" t="s">
        <v>1968</v>
      </c>
      <c r="D1491" s="39" t="s">
        <v>2540</v>
      </c>
      <c r="E1491" s="87">
        <v>45120</v>
      </c>
    </row>
    <row r="1492" spans="1:8" x14ac:dyDescent="0.35">
      <c r="A1492">
        <v>1</v>
      </c>
      <c r="B1492" s="39" t="s">
        <v>2541</v>
      </c>
      <c r="C1492" s="71" t="s">
        <v>1968</v>
      </c>
      <c r="D1492" s="39" t="s">
        <v>2540</v>
      </c>
      <c r="E1492" s="87">
        <v>45120</v>
      </c>
    </row>
    <row r="1493" spans="1:8" x14ac:dyDescent="0.35">
      <c r="A1493">
        <v>1</v>
      </c>
      <c r="B1493" s="39" t="s">
        <v>2542</v>
      </c>
      <c r="C1493" s="71" t="s">
        <v>1968</v>
      </c>
      <c r="D1493" s="39" t="s">
        <v>2540</v>
      </c>
      <c r="E1493" s="87">
        <v>45120</v>
      </c>
    </row>
    <row r="1494" spans="1:8" x14ac:dyDescent="0.35">
      <c r="A1494">
        <v>1</v>
      </c>
      <c r="B1494" s="39" t="s">
        <v>2438</v>
      </c>
      <c r="C1494" s="71" t="s">
        <v>1970</v>
      </c>
      <c r="D1494" s="39" t="s">
        <v>2540</v>
      </c>
      <c r="E1494" s="87">
        <v>45120</v>
      </c>
      <c r="H1494" s="2"/>
    </row>
    <row r="1495" spans="1:8" x14ac:dyDescent="0.35">
      <c r="A1495">
        <v>1</v>
      </c>
      <c r="B1495" s="39" t="s">
        <v>2511</v>
      </c>
      <c r="C1495" s="71" t="s">
        <v>1970</v>
      </c>
      <c r="D1495" s="39" t="s">
        <v>2540</v>
      </c>
      <c r="E1495" s="87">
        <v>45120</v>
      </c>
    </row>
    <row r="1496" spans="1:8" x14ac:dyDescent="0.35">
      <c r="A1496">
        <v>1</v>
      </c>
      <c r="B1496" s="39" t="s">
        <v>2518</v>
      </c>
      <c r="C1496" s="71" t="s">
        <v>1970</v>
      </c>
      <c r="D1496" s="39" t="s">
        <v>2540</v>
      </c>
      <c r="E1496" s="87">
        <v>45120</v>
      </c>
    </row>
    <row r="1497" spans="1:8" x14ac:dyDescent="0.35">
      <c r="A1497">
        <v>1</v>
      </c>
      <c r="B1497" s="39" t="s">
        <v>2523</v>
      </c>
      <c r="C1497" s="71" t="s">
        <v>1970</v>
      </c>
      <c r="D1497" s="39" t="s">
        <v>2540</v>
      </c>
      <c r="E1497" s="87">
        <v>45120</v>
      </c>
    </row>
    <row r="1498" spans="1:8" x14ac:dyDescent="0.35">
      <c r="A1498">
        <v>1</v>
      </c>
      <c r="B1498" s="39" t="s">
        <v>2527</v>
      </c>
      <c r="C1498" s="71" t="s">
        <v>1976</v>
      </c>
      <c r="D1498" s="39" t="s">
        <v>2540</v>
      </c>
      <c r="E1498" s="87">
        <v>45120</v>
      </c>
    </row>
    <row r="1499" spans="1:8" x14ac:dyDescent="0.35">
      <c r="A1499">
        <v>1</v>
      </c>
      <c r="B1499" s="39" t="s">
        <v>2531</v>
      </c>
      <c r="C1499" s="71" t="s">
        <v>1970</v>
      </c>
      <c r="D1499" s="39" t="s">
        <v>2540</v>
      </c>
      <c r="E1499" s="87">
        <v>45120</v>
      </c>
    </row>
    <row r="1500" spans="1:8" x14ac:dyDescent="0.35">
      <c r="A1500">
        <v>1</v>
      </c>
      <c r="B1500" s="39" t="s">
        <v>2536</v>
      </c>
      <c r="C1500" s="71" t="s">
        <v>1976</v>
      </c>
      <c r="D1500" s="39" t="s">
        <v>2540</v>
      </c>
      <c r="E1500" s="87">
        <v>45120</v>
      </c>
    </row>
    <row r="1501" spans="1:8" x14ac:dyDescent="0.35">
      <c r="A1501">
        <v>1</v>
      </c>
      <c r="B1501" s="39" t="s">
        <v>2543</v>
      </c>
      <c r="C1501" s="71" t="s">
        <v>1968</v>
      </c>
      <c r="D1501" s="39" t="s">
        <v>2544</v>
      </c>
      <c r="E1501" s="87">
        <v>45127</v>
      </c>
    </row>
    <row r="1502" spans="1:8" x14ac:dyDescent="0.35">
      <c r="A1502">
        <v>1</v>
      </c>
      <c r="B1502" s="171" t="s">
        <v>344</v>
      </c>
      <c r="C1502" s="71" t="s">
        <v>1968</v>
      </c>
      <c r="D1502" s="39" t="s">
        <v>2544</v>
      </c>
      <c r="E1502" s="87">
        <v>45127</v>
      </c>
    </row>
    <row r="1503" spans="1:8" x14ac:dyDescent="0.35">
      <c r="A1503">
        <v>1</v>
      </c>
      <c r="B1503" s="171" t="s">
        <v>1820</v>
      </c>
      <c r="C1503" s="71" t="s">
        <v>1968</v>
      </c>
      <c r="D1503" s="39" t="s">
        <v>2544</v>
      </c>
      <c r="E1503" s="87">
        <v>45127</v>
      </c>
    </row>
    <row r="1504" spans="1:8" x14ac:dyDescent="0.35">
      <c r="A1504">
        <v>1</v>
      </c>
      <c r="B1504" s="171" t="s">
        <v>494</v>
      </c>
      <c r="C1504" s="71" t="s">
        <v>1968</v>
      </c>
      <c r="D1504" s="39" t="s">
        <v>2544</v>
      </c>
      <c r="E1504" s="87">
        <v>45127</v>
      </c>
    </row>
    <row r="1505" spans="1:5" x14ac:dyDescent="0.35">
      <c r="A1505">
        <v>1</v>
      </c>
      <c r="B1505" s="39" t="s">
        <v>2543</v>
      </c>
      <c r="C1505" s="71" t="s">
        <v>1976</v>
      </c>
      <c r="D1505" s="39" t="s">
        <v>2545</v>
      </c>
      <c r="E1505" s="87">
        <v>45134</v>
      </c>
    </row>
    <row r="1506" spans="1:5" x14ac:dyDescent="0.35">
      <c r="A1506">
        <v>1</v>
      </c>
      <c r="B1506" s="39" t="s">
        <v>2527</v>
      </c>
      <c r="C1506" s="71" t="s">
        <v>1970</v>
      </c>
      <c r="D1506" s="39" t="s">
        <v>2545</v>
      </c>
      <c r="E1506" s="87">
        <v>45134</v>
      </c>
    </row>
    <row r="1507" spans="1:5" x14ac:dyDescent="0.35">
      <c r="A1507">
        <v>1</v>
      </c>
      <c r="B1507" s="39" t="s">
        <v>2536</v>
      </c>
      <c r="C1507" s="71" t="s">
        <v>1970</v>
      </c>
      <c r="D1507" s="39" t="s">
        <v>2545</v>
      </c>
      <c r="E1507" s="87">
        <v>45134</v>
      </c>
    </row>
    <row r="1508" spans="1:5" x14ac:dyDescent="0.35">
      <c r="A1508">
        <v>1</v>
      </c>
      <c r="B1508" s="39" t="s">
        <v>2541</v>
      </c>
      <c r="C1508" s="71" t="s">
        <v>1970</v>
      </c>
      <c r="D1508" s="39" t="s">
        <v>2545</v>
      </c>
      <c r="E1508" s="87">
        <v>45134</v>
      </c>
    </row>
    <row r="1509" spans="1:5" x14ac:dyDescent="0.35">
      <c r="A1509">
        <v>1</v>
      </c>
      <c r="B1509" s="39" t="s">
        <v>2546</v>
      </c>
      <c r="C1509" s="71" t="s">
        <v>1968</v>
      </c>
      <c r="D1509" s="39" t="s">
        <v>2545</v>
      </c>
      <c r="E1509" s="87">
        <v>45134</v>
      </c>
    </row>
    <row r="1510" spans="1:5" x14ac:dyDescent="0.35">
      <c r="A1510">
        <v>1</v>
      </c>
      <c r="B1510" s="39" t="s">
        <v>2547</v>
      </c>
      <c r="C1510" s="71" t="s">
        <v>1968</v>
      </c>
      <c r="D1510" s="39" t="s">
        <v>2548</v>
      </c>
      <c r="E1510" s="87">
        <v>45141</v>
      </c>
    </row>
    <row r="1511" spans="1:5" x14ac:dyDescent="0.35">
      <c r="A1511">
        <v>1</v>
      </c>
      <c r="B1511" s="39" t="s">
        <v>2549</v>
      </c>
      <c r="C1511" s="71" t="s">
        <v>1968</v>
      </c>
      <c r="D1511" s="39" t="s">
        <v>2548</v>
      </c>
      <c r="E1511" s="87">
        <v>45141</v>
      </c>
    </row>
    <row r="1512" spans="1:5" x14ac:dyDescent="0.35">
      <c r="A1512">
        <v>1</v>
      </c>
      <c r="B1512" s="39" t="s">
        <v>2539</v>
      </c>
      <c r="C1512" s="71" t="s">
        <v>1976</v>
      </c>
      <c r="D1512" s="39" t="s">
        <v>2548</v>
      </c>
      <c r="E1512" s="87">
        <v>45141</v>
      </c>
    </row>
    <row r="1513" spans="1:5" x14ac:dyDescent="0.35">
      <c r="A1513">
        <v>1</v>
      </c>
      <c r="B1513" s="39" t="s">
        <v>2550</v>
      </c>
      <c r="C1513" s="71" t="s">
        <v>1968</v>
      </c>
      <c r="D1513" s="39" t="s">
        <v>2548</v>
      </c>
      <c r="E1513" s="87">
        <v>45141</v>
      </c>
    </row>
    <row r="1514" spans="1:5" x14ac:dyDescent="0.35">
      <c r="A1514">
        <v>1</v>
      </c>
      <c r="B1514" s="39" t="s">
        <v>2539</v>
      </c>
      <c r="C1514" s="71" t="s">
        <v>1970</v>
      </c>
      <c r="D1514" s="39" t="s">
        <v>2551</v>
      </c>
      <c r="E1514" s="87">
        <v>45148</v>
      </c>
    </row>
    <row r="1515" spans="1:5" x14ac:dyDescent="0.35">
      <c r="A1515">
        <v>1</v>
      </c>
      <c r="B1515" s="39" t="s">
        <v>2552</v>
      </c>
      <c r="C1515" s="71" t="s">
        <v>1968</v>
      </c>
      <c r="D1515" s="39" t="s">
        <v>2551</v>
      </c>
      <c r="E1515" s="87">
        <v>45148</v>
      </c>
    </row>
    <row r="1516" spans="1:5" x14ac:dyDescent="0.35">
      <c r="A1516">
        <v>1</v>
      </c>
      <c r="B1516" s="39" t="s">
        <v>2552</v>
      </c>
      <c r="C1516" s="71" t="s">
        <v>1970</v>
      </c>
      <c r="D1516" s="39" t="s">
        <v>2553</v>
      </c>
      <c r="E1516" s="87">
        <v>45155</v>
      </c>
    </row>
    <row r="1517" spans="1:5" x14ac:dyDescent="0.35">
      <c r="A1517">
        <v>1</v>
      </c>
      <c r="B1517" s="39" t="s">
        <v>2554</v>
      </c>
      <c r="C1517" s="71" t="s">
        <v>1968</v>
      </c>
      <c r="D1517" s="39" t="s">
        <v>2553</v>
      </c>
      <c r="E1517" s="87">
        <v>45155</v>
      </c>
    </row>
    <row r="1518" spans="1:5" x14ac:dyDescent="0.35">
      <c r="A1518">
        <v>1</v>
      </c>
      <c r="B1518" s="35" t="s">
        <v>2497</v>
      </c>
      <c r="C1518" s="71" t="s">
        <v>1976</v>
      </c>
      <c r="D1518" s="39" t="s">
        <v>2553</v>
      </c>
      <c r="E1518" s="87">
        <v>45155</v>
      </c>
    </row>
    <row r="1519" spans="1:5" x14ac:dyDescent="0.35">
      <c r="A1519">
        <v>1</v>
      </c>
      <c r="B1519" s="94" t="s">
        <v>2513</v>
      </c>
      <c r="C1519" s="71" t="s">
        <v>1976</v>
      </c>
      <c r="D1519" s="39" t="s">
        <v>2553</v>
      </c>
      <c r="E1519" s="87">
        <v>45155</v>
      </c>
    </row>
    <row r="1520" spans="1:5" x14ac:dyDescent="0.35">
      <c r="A1520">
        <v>1</v>
      </c>
      <c r="B1520" s="94" t="s">
        <v>2522</v>
      </c>
      <c r="C1520" s="71" t="s">
        <v>1976</v>
      </c>
      <c r="D1520" s="39" t="s">
        <v>2553</v>
      </c>
      <c r="E1520" s="87">
        <v>45155</v>
      </c>
    </row>
    <row r="1521" spans="1:5" x14ac:dyDescent="0.35">
      <c r="A1521">
        <v>1</v>
      </c>
      <c r="B1521" s="94" t="s">
        <v>2524</v>
      </c>
      <c r="C1521" s="71" t="s">
        <v>1976</v>
      </c>
      <c r="D1521" s="39" t="s">
        <v>2553</v>
      </c>
      <c r="E1521" s="87">
        <v>45155</v>
      </c>
    </row>
    <row r="1522" spans="1:5" x14ac:dyDescent="0.35">
      <c r="A1522">
        <v>1</v>
      </c>
      <c r="B1522" s="94" t="s">
        <v>2529</v>
      </c>
      <c r="C1522" s="71" t="s">
        <v>1976</v>
      </c>
      <c r="D1522" s="39" t="s">
        <v>2553</v>
      </c>
      <c r="E1522" s="87">
        <v>45155</v>
      </c>
    </row>
    <row r="1523" spans="1:5" x14ac:dyDescent="0.35">
      <c r="A1523">
        <v>1</v>
      </c>
      <c r="B1523" s="94" t="s">
        <v>2533</v>
      </c>
      <c r="C1523" s="71" t="s">
        <v>1976</v>
      </c>
      <c r="D1523" s="39" t="s">
        <v>2553</v>
      </c>
      <c r="E1523" s="87">
        <v>45155</v>
      </c>
    </row>
    <row r="1524" spans="1:5" x14ac:dyDescent="0.35">
      <c r="A1524">
        <v>1</v>
      </c>
      <c r="B1524" s="94" t="s">
        <v>2538</v>
      </c>
      <c r="C1524" s="71" t="s">
        <v>1976</v>
      </c>
      <c r="D1524" s="39" t="s">
        <v>2553</v>
      </c>
      <c r="E1524" s="87">
        <v>45155</v>
      </c>
    </row>
    <row r="1525" spans="1:5" x14ac:dyDescent="0.35">
      <c r="A1525">
        <v>1</v>
      </c>
      <c r="B1525" s="39" t="s">
        <v>322</v>
      </c>
      <c r="C1525" s="71" t="s">
        <v>1975</v>
      </c>
      <c r="D1525" s="39" t="s">
        <v>2553</v>
      </c>
      <c r="E1525" s="87">
        <v>45155</v>
      </c>
    </row>
    <row r="1526" spans="1:5" x14ac:dyDescent="0.35">
      <c r="A1526">
        <v>1</v>
      </c>
      <c r="B1526" s="35" t="s">
        <v>2497</v>
      </c>
      <c r="C1526" s="71" t="s">
        <v>1976</v>
      </c>
      <c r="D1526" s="39" t="s">
        <v>2555</v>
      </c>
      <c r="E1526" s="87">
        <v>45169</v>
      </c>
    </row>
    <row r="1527" spans="1:5" x14ac:dyDescent="0.35">
      <c r="A1527">
        <v>1</v>
      </c>
      <c r="B1527" s="94" t="s">
        <v>2513</v>
      </c>
      <c r="C1527" s="71" t="s">
        <v>1976</v>
      </c>
      <c r="D1527" s="39" t="s">
        <v>2555</v>
      </c>
      <c r="E1527" s="87">
        <v>45169</v>
      </c>
    </row>
    <row r="1528" spans="1:5" x14ac:dyDescent="0.35">
      <c r="A1528">
        <v>1</v>
      </c>
      <c r="B1528" s="94" t="s">
        <v>2529</v>
      </c>
      <c r="C1528" s="71" t="s">
        <v>1976</v>
      </c>
      <c r="D1528" s="39" t="s">
        <v>2555</v>
      </c>
      <c r="E1528" s="87">
        <v>45169</v>
      </c>
    </row>
    <row r="1529" spans="1:5" x14ac:dyDescent="0.35">
      <c r="A1529">
        <v>1</v>
      </c>
      <c r="B1529" s="94" t="s">
        <v>2538</v>
      </c>
      <c r="C1529" s="71" t="s">
        <v>1976</v>
      </c>
      <c r="D1529" s="39" t="s">
        <v>2555</v>
      </c>
      <c r="E1529" s="87">
        <v>45169</v>
      </c>
    </row>
    <row r="1530" spans="1:5" x14ac:dyDescent="0.35">
      <c r="A1530">
        <v>1</v>
      </c>
      <c r="B1530" s="94" t="s">
        <v>2543</v>
      </c>
      <c r="C1530" s="71" t="s">
        <v>1976</v>
      </c>
      <c r="D1530" s="39" t="s">
        <v>2555</v>
      </c>
      <c r="E1530" s="87">
        <v>45169</v>
      </c>
    </row>
    <row r="1531" spans="1:5" x14ac:dyDescent="0.35">
      <c r="A1531">
        <v>1</v>
      </c>
      <c r="B1531" s="94" t="s">
        <v>2533</v>
      </c>
      <c r="C1531" s="71" t="s">
        <v>1976</v>
      </c>
      <c r="D1531" s="39" t="s">
        <v>2555</v>
      </c>
      <c r="E1531" s="87">
        <v>45169</v>
      </c>
    </row>
    <row r="1532" spans="1:5" x14ac:dyDescent="0.35">
      <c r="A1532">
        <v>1</v>
      </c>
      <c r="B1532" s="94" t="s">
        <v>2556</v>
      </c>
      <c r="C1532" s="71" t="s">
        <v>1968</v>
      </c>
      <c r="D1532" s="39" t="s">
        <v>2557</v>
      </c>
      <c r="E1532" s="87">
        <v>45183</v>
      </c>
    </row>
    <row r="1533" spans="1:5" x14ac:dyDescent="0.35">
      <c r="A1533">
        <v>1</v>
      </c>
      <c r="B1533" s="94" t="s">
        <v>2558</v>
      </c>
      <c r="C1533" s="71" t="s">
        <v>1968</v>
      </c>
      <c r="D1533" s="39" t="s">
        <v>2557</v>
      </c>
      <c r="E1533" s="87">
        <v>45183</v>
      </c>
    </row>
    <row r="1534" spans="1:5" x14ac:dyDescent="0.35">
      <c r="A1534">
        <v>1</v>
      </c>
      <c r="B1534" s="94" t="s">
        <v>2519</v>
      </c>
      <c r="C1534" s="71" t="s">
        <v>1975</v>
      </c>
      <c r="D1534" s="39" t="s">
        <v>2557</v>
      </c>
      <c r="E1534" s="87">
        <v>45183</v>
      </c>
    </row>
    <row r="1535" spans="1:5" x14ac:dyDescent="0.35">
      <c r="A1535">
        <v>1</v>
      </c>
      <c r="B1535" s="39" t="s">
        <v>2451</v>
      </c>
      <c r="C1535" s="71" t="s">
        <v>1970</v>
      </c>
      <c r="D1535" s="39" t="s">
        <v>2557</v>
      </c>
      <c r="E1535" s="87">
        <v>45183</v>
      </c>
    </row>
    <row r="1536" spans="1:5" x14ac:dyDescent="0.35">
      <c r="A1536">
        <v>1</v>
      </c>
      <c r="B1536" s="39" t="s">
        <v>2559</v>
      </c>
      <c r="C1536" s="71" t="s">
        <v>1968</v>
      </c>
      <c r="D1536" s="39" t="s">
        <v>2557</v>
      </c>
      <c r="E1536" s="87">
        <v>45183</v>
      </c>
    </row>
    <row r="1537" spans="1:5" x14ac:dyDescent="0.35">
      <c r="A1537">
        <v>1</v>
      </c>
      <c r="B1537" s="39" t="s">
        <v>2560</v>
      </c>
      <c r="C1537" s="71" t="s">
        <v>1968</v>
      </c>
      <c r="D1537" s="39" t="s">
        <v>2557</v>
      </c>
      <c r="E1537" s="87">
        <v>45183</v>
      </c>
    </row>
    <row r="1538" spans="1:5" x14ac:dyDescent="0.35">
      <c r="A1538">
        <v>1</v>
      </c>
      <c r="B1538" s="39" t="s">
        <v>2356</v>
      </c>
      <c r="C1538" s="71" t="s">
        <v>1975</v>
      </c>
      <c r="D1538" s="39" t="s">
        <v>2557</v>
      </c>
      <c r="E1538" s="87">
        <v>45183</v>
      </c>
    </row>
    <row r="1539" spans="1:5" x14ac:dyDescent="0.35">
      <c r="A1539">
        <v>1</v>
      </c>
      <c r="B1539" s="39" t="s">
        <v>2359</v>
      </c>
      <c r="C1539" s="71" t="s">
        <v>1975</v>
      </c>
      <c r="D1539" s="39" t="s">
        <v>2557</v>
      </c>
      <c r="E1539" s="87">
        <v>45183</v>
      </c>
    </row>
    <row r="1540" spans="1:5" x14ac:dyDescent="0.35">
      <c r="A1540">
        <v>1</v>
      </c>
      <c r="B1540" s="39" t="s">
        <v>2456</v>
      </c>
      <c r="C1540" s="71" t="s">
        <v>1975</v>
      </c>
      <c r="D1540" s="39" t="s">
        <v>2557</v>
      </c>
      <c r="E1540" s="87">
        <v>45183</v>
      </c>
    </row>
    <row r="1541" spans="1:5" x14ac:dyDescent="0.35">
      <c r="A1541">
        <v>1</v>
      </c>
      <c r="B1541" s="39" t="s">
        <v>2537</v>
      </c>
      <c r="C1541" s="71" t="s">
        <v>1975</v>
      </c>
      <c r="D1541" s="39" t="s">
        <v>2557</v>
      </c>
      <c r="E1541" s="87">
        <v>45183</v>
      </c>
    </row>
    <row r="1542" spans="1:5" x14ac:dyDescent="0.35">
      <c r="A1542">
        <v>1</v>
      </c>
      <c r="B1542" s="39" t="s">
        <v>2497</v>
      </c>
      <c r="C1542" s="71" t="s">
        <v>1970</v>
      </c>
      <c r="D1542" s="39" t="s">
        <v>2557</v>
      </c>
      <c r="E1542" s="87">
        <v>45183</v>
      </c>
    </row>
    <row r="1543" spans="1:5" x14ac:dyDescent="0.35">
      <c r="A1543">
        <v>1</v>
      </c>
      <c r="B1543" s="39" t="s">
        <v>2513</v>
      </c>
      <c r="C1543" s="71" t="s">
        <v>1970</v>
      </c>
      <c r="D1543" s="39" t="s">
        <v>2557</v>
      </c>
      <c r="E1543" s="87">
        <v>45183</v>
      </c>
    </row>
    <row r="1544" spans="1:5" x14ac:dyDescent="0.35">
      <c r="A1544">
        <v>1</v>
      </c>
      <c r="B1544" s="39" t="s">
        <v>2524</v>
      </c>
      <c r="C1544" s="71" t="s">
        <v>1970</v>
      </c>
      <c r="D1544" s="39" t="s">
        <v>2557</v>
      </c>
      <c r="E1544" s="87">
        <v>45183</v>
      </c>
    </row>
    <row r="1545" spans="1:5" x14ac:dyDescent="0.35">
      <c r="A1545">
        <v>1</v>
      </c>
      <c r="B1545" s="39" t="s">
        <v>2529</v>
      </c>
      <c r="C1545" s="71" t="s">
        <v>1970</v>
      </c>
      <c r="D1545" s="39" t="s">
        <v>2557</v>
      </c>
      <c r="E1545" s="87">
        <v>45183</v>
      </c>
    </row>
    <row r="1546" spans="1:5" x14ac:dyDescent="0.35">
      <c r="A1546">
        <v>1</v>
      </c>
      <c r="B1546" s="39" t="s">
        <v>2533</v>
      </c>
      <c r="C1546" s="71" t="s">
        <v>1970</v>
      </c>
      <c r="D1546" s="39" t="s">
        <v>2557</v>
      </c>
      <c r="E1546" s="87">
        <v>45183</v>
      </c>
    </row>
    <row r="1547" spans="1:5" x14ac:dyDescent="0.35">
      <c r="A1547">
        <v>1</v>
      </c>
      <c r="B1547" s="39" t="s">
        <v>2538</v>
      </c>
      <c r="C1547" s="71" t="s">
        <v>1970</v>
      </c>
      <c r="D1547" s="39" t="s">
        <v>2557</v>
      </c>
      <c r="E1547" s="87">
        <v>45183</v>
      </c>
    </row>
    <row r="1548" spans="1:5" x14ac:dyDescent="0.35">
      <c r="A1548">
        <v>1</v>
      </c>
      <c r="B1548" s="39" t="s">
        <v>2543</v>
      </c>
      <c r="C1548" s="71" t="s">
        <v>1970</v>
      </c>
      <c r="D1548" s="39" t="s">
        <v>2557</v>
      </c>
      <c r="E1548" s="87">
        <v>45183</v>
      </c>
    </row>
    <row r="1549" spans="1:5" x14ac:dyDescent="0.35">
      <c r="A1549">
        <v>1</v>
      </c>
      <c r="B1549" s="39" t="s">
        <v>2561</v>
      </c>
      <c r="C1549" s="71" t="s">
        <v>1968</v>
      </c>
      <c r="D1549" s="39" t="s">
        <v>2562</v>
      </c>
      <c r="E1549" s="87">
        <v>45197</v>
      </c>
    </row>
    <row r="1550" spans="1:5" x14ac:dyDescent="0.35">
      <c r="A1550">
        <v>1</v>
      </c>
      <c r="B1550" s="39" t="s">
        <v>2563</v>
      </c>
      <c r="C1550" s="71" t="s">
        <v>1968</v>
      </c>
      <c r="D1550" s="39" t="s">
        <v>2562</v>
      </c>
      <c r="E1550" s="87">
        <v>45197</v>
      </c>
    </row>
    <row r="1551" spans="1:5" x14ac:dyDescent="0.35">
      <c r="A1551">
        <v>1</v>
      </c>
      <c r="B1551" s="39" t="s">
        <v>2533</v>
      </c>
      <c r="C1551" s="71" t="s">
        <v>1974</v>
      </c>
      <c r="D1551" s="39" t="s">
        <v>2562</v>
      </c>
      <c r="E1551" s="87">
        <v>45197</v>
      </c>
    </row>
    <row r="1552" spans="1:5" x14ac:dyDescent="0.35">
      <c r="A1552">
        <v>1</v>
      </c>
      <c r="B1552" s="39" t="s">
        <v>2543</v>
      </c>
      <c r="C1552" s="71" t="s">
        <v>1974</v>
      </c>
      <c r="D1552" s="39" t="s">
        <v>2562</v>
      </c>
      <c r="E1552" s="87">
        <v>45197</v>
      </c>
    </row>
    <row r="1553" spans="1:5" x14ac:dyDescent="0.35">
      <c r="A1553">
        <v>1</v>
      </c>
      <c r="B1553" s="39" t="s">
        <v>2194</v>
      </c>
      <c r="C1553" s="71" t="s">
        <v>1976</v>
      </c>
      <c r="D1553" s="39" t="s">
        <v>2562</v>
      </c>
      <c r="E1553" s="87">
        <v>45197</v>
      </c>
    </row>
    <row r="1554" spans="1:5" x14ac:dyDescent="0.35">
      <c r="A1554">
        <v>1</v>
      </c>
      <c r="B1554" s="39" t="s">
        <v>2556</v>
      </c>
      <c r="C1554" s="71" t="s">
        <v>1975</v>
      </c>
      <c r="D1554" s="39" t="s">
        <v>2562</v>
      </c>
      <c r="E1554" s="87">
        <v>45197</v>
      </c>
    </row>
    <row r="1555" spans="1:5" x14ac:dyDescent="0.35">
      <c r="A1555">
        <v>1</v>
      </c>
      <c r="B1555" s="39" t="s">
        <v>2564</v>
      </c>
      <c r="C1555" s="71" t="s">
        <v>1968</v>
      </c>
      <c r="D1555" s="39" t="s">
        <v>2565</v>
      </c>
      <c r="E1555" s="87">
        <v>45204</v>
      </c>
    </row>
    <row r="1556" spans="1:5" x14ac:dyDescent="0.35">
      <c r="A1556">
        <v>1</v>
      </c>
      <c r="B1556" s="39" t="s">
        <v>2566</v>
      </c>
      <c r="C1556" s="71" t="s">
        <v>1968</v>
      </c>
      <c r="D1556" s="39" t="s">
        <v>2565</v>
      </c>
      <c r="E1556" s="87">
        <v>45204</v>
      </c>
    </row>
    <row r="1557" spans="1:5" x14ac:dyDescent="0.35">
      <c r="A1557">
        <v>1</v>
      </c>
      <c r="B1557" s="39" t="s">
        <v>2567</v>
      </c>
      <c r="C1557" s="71" t="s">
        <v>1968</v>
      </c>
      <c r="D1557" s="39" t="s">
        <v>2565</v>
      </c>
      <c r="E1557" s="87">
        <v>45204</v>
      </c>
    </row>
    <row r="1558" spans="1:5" x14ac:dyDescent="0.35">
      <c r="A1558">
        <v>1</v>
      </c>
      <c r="B1558" s="39" t="s">
        <v>2566</v>
      </c>
      <c r="C1558" s="71" t="s">
        <v>1970</v>
      </c>
      <c r="D1558" s="39" t="s">
        <v>2568</v>
      </c>
      <c r="E1558" s="87">
        <v>45211</v>
      </c>
    </row>
    <row r="1559" spans="1:5" x14ac:dyDescent="0.35">
      <c r="A1559">
        <v>1</v>
      </c>
      <c r="B1559" s="39" t="s">
        <v>2569</v>
      </c>
      <c r="C1559" s="71" t="s">
        <v>1968</v>
      </c>
      <c r="D1559" s="39" t="s">
        <v>2568</v>
      </c>
      <c r="E1559" s="87">
        <v>45211</v>
      </c>
    </row>
    <row r="1560" spans="1:5" x14ac:dyDescent="0.35">
      <c r="A1560">
        <v>1</v>
      </c>
      <c r="B1560" s="39" t="s">
        <v>2570</v>
      </c>
      <c r="C1560" s="71" t="s">
        <v>1968</v>
      </c>
      <c r="D1560" s="39" t="s">
        <v>2568</v>
      </c>
      <c r="E1560" s="87">
        <v>45211</v>
      </c>
    </row>
    <row r="1561" spans="1:5" x14ac:dyDescent="0.35">
      <c r="A1561">
        <v>1</v>
      </c>
      <c r="B1561" s="39" t="s">
        <v>2571</v>
      </c>
      <c r="C1561" s="71" t="s">
        <v>1968</v>
      </c>
      <c r="D1561" s="39" t="s">
        <v>2568</v>
      </c>
      <c r="E1561" s="87">
        <v>45211</v>
      </c>
    </row>
    <row r="1562" spans="1:5" x14ac:dyDescent="0.35">
      <c r="A1562">
        <v>1</v>
      </c>
      <c r="B1562" s="39" t="s">
        <v>2509</v>
      </c>
      <c r="C1562" s="71" t="s">
        <v>1975</v>
      </c>
      <c r="D1562" s="39" t="s">
        <v>2568</v>
      </c>
      <c r="E1562" s="87">
        <v>45211</v>
      </c>
    </row>
    <row r="1563" spans="1:5" x14ac:dyDescent="0.35">
      <c r="A1563">
        <v>1</v>
      </c>
      <c r="B1563" s="39" t="s">
        <v>2566</v>
      </c>
      <c r="C1563" s="71" t="s">
        <v>1975</v>
      </c>
      <c r="D1563" s="39" t="s">
        <v>2568</v>
      </c>
      <c r="E1563" s="87">
        <v>45211</v>
      </c>
    </row>
    <row r="1564" spans="1:5" x14ac:dyDescent="0.35">
      <c r="A1564">
        <v>1</v>
      </c>
      <c r="B1564" s="39" t="s">
        <v>2572</v>
      </c>
      <c r="C1564" s="71" t="s">
        <v>1968</v>
      </c>
      <c r="D1564" s="39" t="s">
        <v>2568</v>
      </c>
      <c r="E1564" s="87">
        <v>45211</v>
      </c>
    </row>
    <row r="1565" spans="1:5" x14ac:dyDescent="0.35">
      <c r="A1565">
        <v>1</v>
      </c>
      <c r="B1565" s="39" t="s">
        <v>2573</v>
      </c>
      <c r="C1565" s="71" t="s">
        <v>1968</v>
      </c>
      <c r="D1565" s="39" t="s">
        <v>2574</v>
      </c>
      <c r="E1565" s="87">
        <v>45225</v>
      </c>
    </row>
    <row r="1566" spans="1:5" x14ac:dyDescent="0.35">
      <c r="A1566">
        <v>1</v>
      </c>
      <c r="B1566" s="39" t="s">
        <v>2564</v>
      </c>
      <c r="C1566" s="71" t="s">
        <v>1975</v>
      </c>
      <c r="D1566" s="39" t="s">
        <v>2574</v>
      </c>
      <c r="E1566" s="87">
        <v>45225</v>
      </c>
    </row>
    <row r="1567" spans="1:5" x14ac:dyDescent="0.35">
      <c r="A1567">
        <v>1</v>
      </c>
      <c r="B1567" s="39" t="s">
        <v>2535</v>
      </c>
      <c r="C1567" s="71" t="s">
        <v>1976</v>
      </c>
      <c r="D1567" s="39" t="s">
        <v>2574</v>
      </c>
      <c r="E1567" s="87">
        <v>45225</v>
      </c>
    </row>
    <row r="1568" spans="1:5" x14ac:dyDescent="0.35">
      <c r="A1568">
        <v>1</v>
      </c>
      <c r="B1568" s="39" t="s">
        <v>2575</v>
      </c>
      <c r="C1568" s="71" t="s">
        <v>1968</v>
      </c>
      <c r="D1568" s="39" t="s">
        <v>2574</v>
      </c>
      <c r="E1568" s="87">
        <v>45225</v>
      </c>
    </row>
    <row r="1569" spans="1:5" x14ac:dyDescent="0.35">
      <c r="A1569">
        <v>1</v>
      </c>
      <c r="B1569" s="39" t="s">
        <v>2546</v>
      </c>
      <c r="C1569" s="71" t="s">
        <v>1970</v>
      </c>
      <c r="D1569" s="39" t="s">
        <v>2574</v>
      </c>
      <c r="E1569" s="87">
        <v>45225</v>
      </c>
    </row>
    <row r="1570" spans="1:5" x14ac:dyDescent="0.35">
      <c r="A1570">
        <v>1</v>
      </c>
      <c r="B1570" s="39" t="s">
        <v>2576</v>
      </c>
      <c r="C1570" s="71" t="s">
        <v>1968</v>
      </c>
      <c r="D1570" s="39" t="s">
        <v>2577</v>
      </c>
      <c r="E1570" s="87">
        <v>45239</v>
      </c>
    </row>
    <row r="1571" spans="1:5" x14ac:dyDescent="0.35">
      <c r="A1571">
        <v>1</v>
      </c>
      <c r="B1571" s="39" t="s">
        <v>2578</v>
      </c>
      <c r="C1571" s="71" t="s">
        <v>1968</v>
      </c>
      <c r="D1571" s="39" t="s">
        <v>2577</v>
      </c>
      <c r="E1571" s="87">
        <v>45239</v>
      </c>
    </row>
    <row r="1572" spans="1:5" x14ac:dyDescent="0.35">
      <c r="A1572">
        <v>1</v>
      </c>
      <c r="B1572" s="39" t="s">
        <v>2569</v>
      </c>
      <c r="C1572" s="71" t="s">
        <v>1970</v>
      </c>
      <c r="D1572" s="39" t="s">
        <v>2577</v>
      </c>
      <c r="E1572" s="87">
        <v>45239</v>
      </c>
    </row>
    <row r="1573" spans="1:5" x14ac:dyDescent="0.35">
      <c r="A1573">
        <v>1</v>
      </c>
      <c r="B1573" s="39" t="s">
        <v>2564</v>
      </c>
      <c r="C1573" s="71" t="s">
        <v>1976</v>
      </c>
      <c r="D1573" s="39" t="s">
        <v>2577</v>
      </c>
      <c r="E1573" s="87">
        <v>45239</v>
      </c>
    </row>
    <row r="1574" spans="1:5" x14ac:dyDescent="0.35">
      <c r="A1574">
        <v>1</v>
      </c>
      <c r="B1574" s="39" t="s">
        <v>2488</v>
      </c>
      <c r="C1574" s="71" t="s">
        <v>1970</v>
      </c>
      <c r="D1574" s="39" t="s">
        <v>2577</v>
      </c>
      <c r="E1574" s="87">
        <v>45239</v>
      </c>
    </row>
    <row r="1575" spans="1:5" x14ac:dyDescent="0.35">
      <c r="A1575">
        <v>1</v>
      </c>
      <c r="B1575" s="39" t="s">
        <v>2480</v>
      </c>
      <c r="C1575" s="71" t="s">
        <v>1970</v>
      </c>
      <c r="D1575" s="39" t="s">
        <v>2577</v>
      </c>
      <c r="E1575" s="87">
        <v>45239</v>
      </c>
    </row>
    <row r="1576" spans="1:5" x14ac:dyDescent="0.35">
      <c r="A1576">
        <v>1</v>
      </c>
      <c r="B1576" s="39" t="s">
        <v>2316</v>
      </c>
      <c r="C1576" s="71" t="s">
        <v>1970</v>
      </c>
      <c r="D1576" s="39" t="s">
        <v>2577</v>
      </c>
      <c r="E1576" s="87">
        <v>45239</v>
      </c>
    </row>
    <row r="1577" spans="1:5" x14ac:dyDescent="0.35">
      <c r="A1577">
        <v>1</v>
      </c>
      <c r="B1577" s="39" t="s">
        <v>2564</v>
      </c>
      <c r="C1577" s="71" t="s">
        <v>1976</v>
      </c>
      <c r="D1577" s="39" t="s">
        <v>2577</v>
      </c>
      <c r="E1577" s="87">
        <v>45239</v>
      </c>
    </row>
    <row r="1578" spans="1:5" x14ac:dyDescent="0.35">
      <c r="A1578">
        <v>1</v>
      </c>
      <c r="B1578" s="130" t="s">
        <v>2533</v>
      </c>
      <c r="C1578" s="71" t="s">
        <v>1976</v>
      </c>
      <c r="D1578" s="39" t="s">
        <v>2579</v>
      </c>
      <c r="E1578" s="87">
        <v>45253</v>
      </c>
    </row>
    <row r="1579" spans="1:5" x14ac:dyDescent="0.35">
      <c r="A1579">
        <v>1</v>
      </c>
      <c r="B1579" s="130" t="s">
        <v>2535</v>
      </c>
      <c r="C1579" s="71" t="s">
        <v>1976</v>
      </c>
      <c r="D1579" s="39" t="s">
        <v>2579</v>
      </c>
      <c r="E1579" s="87">
        <v>45253</v>
      </c>
    </row>
    <row r="1580" spans="1:5" x14ac:dyDescent="0.35">
      <c r="A1580">
        <v>1</v>
      </c>
      <c r="B1580" s="130" t="s">
        <v>2543</v>
      </c>
      <c r="C1580" s="71" t="s">
        <v>1976</v>
      </c>
      <c r="D1580" s="39" t="s">
        <v>2579</v>
      </c>
      <c r="E1580" s="87">
        <v>45253</v>
      </c>
    </row>
    <row r="1581" spans="1:5" x14ac:dyDescent="0.35">
      <c r="A1581">
        <v>1</v>
      </c>
      <c r="B1581" s="130" t="s">
        <v>2564</v>
      </c>
      <c r="C1581" s="71" t="s">
        <v>1976</v>
      </c>
      <c r="D1581" s="39" t="s">
        <v>2579</v>
      </c>
      <c r="E1581" s="87">
        <v>45253</v>
      </c>
    </row>
    <row r="1582" spans="1:5" ht="13" customHeight="1" x14ac:dyDescent="0.35">
      <c r="A1582">
        <v>1</v>
      </c>
      <c r="B1582" s="131" t="s">
        <v>2387</v>
      </c>
      <c r="C1582" s="71" t="s">
        <v>1970</v>
      </c>
      <c r="D1582" s="39" t="s">
        <v>2579</v>
      </c>
      <c r="E1582" s="87">
        <v>45253</v>
      </c>
    </row>
    <row r="1583" spans="1:5" x14ac:dyDescent="0.35">
      <c r="A1583">
        <v>1</v>
      </c>
      <c r="B1583" s="132" t="s">
        <v>2419</v>
      </c>
      <c r="C1583" s="71" t="s">
        <v>1970</v>
      </c>
      <c r="D1583" s="39" t="s">
        <v>2579</v>
      </c>
      <c r="E1583" s="87">
        <v>45253</v>
      </c>
    </row>
    <row r="1584" spans="1:5" x14ac:dyDescent="0.35">
      <c r="A1584">
        <v>1</v>
      </c>
      <c r="B1584" s="132" t="s">
        <v>2440</v>
      </c>
      <c r="C1584" s="71" t="s">
        <v>1970</v>
      </c>
      <c r="D1584" s="39" t="s">
        <v>2579</v>
      </c>
      <c r="E1584" s="87">
        <v>45253</v>
      </c>
    </row>
    <row r="1585" spans="1:5" x14ac:dyDescent="0.35">
      <c r="A1585">
        <v>1</v>
      </c>
      <c r="B1585" s="130" t="s">
        <v>2537</v>
      </c>
      <c r="C1585" s="71" t="s">
        <v>1970</v>
      </c>
      <c r="D1585" s="39" t="s">
        <v>2579</v>
      </c>
      <c r="E1585" s="87">
        <v>45253</v>
      </c>
    </row>
    <row r="1586" spans="1:5" x14ac:dyDescent="0.35">
      <c r="A1586">
        <v>1</v>
      </c>
      <c r="B1586" s="130" t="s">
        <v>2533</v>
      </c>
      <c r="C1586" s="71" t="s">
        <v>1970</v>
      </c>
      <c r="D1586" s="39" t="s">
        <v>2580</v>
      </c>
      <c r="E1586" s="87">
        <v>45260</v>
      </c>
    </row>
    <row r="1587" spans="1:5" x14ac:dyDescent="0.35">
      <c r="A1587">
        <v>1</v>
      </c>
      <c r="B1587" s="130" t="s">
        <v>2535</v>
      </c>
      <c r="C1587" s="71" t="s">
        <v>1970</v>
      </c>
      <c r="D1587" s="39" t="s">
        <v>2580</v>
      </c>
      <c r="E1587" s="87">
        <v>45260</v>
      </c>
    </row>
    <row r="1588" spans="1:5" x14ac:dyDescent="0.35">
      <c r="A1588">
        <v>1</v>
      </c>
      <c r="B1588" s="130" t="s">
        <v>2543</v>
      </c>
      <c r="C1588" s="71" t="s">
        <v>1970</v>
      </c>
      <c r="D1588" s="39" t="s">
        <v>2580</v>
      </c>
      <c r="E1588" s="87">
        <v>45260</v>
      </c>
    </row>
    <row r="1589" spans="1:5" x14ac:dyDescent="0.35">
      <c r="A1589">
        <v>1</v>
      </c>
      <c r="B1589" s="130" t="s">
        <v>2564</v>
      </c>
      <c r="C1589" s="71" t="s">
        <v>1970</v>
      </c>
      <c r="D1589" s="39" t="s">
        <v>2580</v>
      </c>
      <c r="E1589" s="87">
        <v>45260</v>
      </c>
    </row>
    <row r="1590" spans="1:5" x14ac:dyDescent="0.35">
      <c r="A1590">
        <v>1</v>
      </c>
      <c r="B1590" s="130" t="s">
        <v>2581</v>
      </c>
      <c r="C1590" s="71" t="s">
        <v>1968</v>
      </c>
      <c r="D1590" s="39" t="s">
        <v>2580</v>
      </c>
      <c r="E1590" s="87">
        <v>45260</v>
      </c>
    </row>
    <row r="1591" spans="1:5" x14ac:dyDescent="0.35">
      <c r="A1591">
        <v>1</v>
      </c>
      <c r="B1591" s="130" t="s">
        <v>2547</v>
      </c>
      <c r="C1591" s="71" t="s">
        <v>1970</v>
      </c>
      <c r="D1591" s="39" t="s">
        <v>2582</v>
      </c>
      <c r="E1591" s="87">
        <v>45268</v>
      </c>
    </row>
    <row r="1592" spans="1:5" hidden="1" x14ac:dyDescent="0.35">
      <c r="A1592">
        <v>1</v>
      </c>
      <c r="B1592" s="30" t="s">
        <v>341</v>
      </c>
      <c r="C1592" s="71" t="s">
        <v>1969</v>
      </c>
      <c r="D1592" s="39" t="s">
        <v>2582</v>
      </c>
      <c r="E1592" s="87">
        <v>45268</v>
      </c>
    </row>
    <row r="1593" spans="1:5" x14ac:dyDescent="0.35">
      <c r="A1593">
        <v>1</v>
      </c>
      <c r="B1593" s="39" t="s">
        <v>2519</v>
      </c>
      <c r="C1593" s="71" t="s">
        <v>1975</v>
      </c>
      <c r="D1593" s="39" t="s">
        <v>2583</v>
      </c>
      <c r="E1593" s="87">
        <v>45281</v>
      </c>
    </row>
    <row r="1594" spans="1:5" x14ac:dyDescent="0.35">
      <c r="A1594">
        <v>1</v>
      </c>
      <c r="B1594" s="39" t="s">
        <v>491</v>
      </c>
      <c r="C1594" s="71" t="s">
        <v>1975</v>
      </c>
      <c r="D1594" s="39" t="s">
        <v>2583</v>
      </c>
      <c r="E1594" s="87">
        <v>45281</v>
      </c>
    </row>
    <row r="1595" spans="1:5" x14ac:dyDescent="0.35">
      <c r="A1595">
        <v>1</v>
      </c>
      <c r="B1595" s="171" t="s">
        <v>344</v>
      </c>
      <c r="C1595" s="71" t="s">
        <v>1975</v>
      </c>
      <c r="D1595" s="39" t="s">
        <v>2584</v>
      </c>
      <c r="E1595" s="87">
        <v>45302</v>
      </c>
    </row>
    <row r="1596" spans="1:5" x14ac:dyDescent="0.35">
      <c r="A1596">
        <v>1</v>
      </c>
      <c r="B1596" s="39" t="s">
        <v>2578</v>
      </c>
      <c r="C1596" s="71" t="s">
        <v>1975</v>
      </c>
      <c r="D1596" s="39" t="s">
        <v>2584</v>
      </c>
      <c r="E1596" s="87">
        <v>45302</v>
      </c>
    </row>
    <row r="1597" spans="1:5" x14ac:dyDescent="0.35">
      <c r="A1597">
        <v>1</v>
      </c>
      <c r="B1597" s="171" t="s">
        <v>344</v>
      </c>
      <c r="C1597" s="71" t="s">
        <v>1976</v>
      </c>
      <c r="D1597" s="39" t="s">
        <v>2584</v>
      </c>
      <c r="E1597" s="87">
        <v>45302</v>
      </c>
    </row>
    <row r="1598" spans="1:5" x14ac:dyDescent="0.35">
      <c r="A1598">
        <v>1</v>
      </c>
      <c r="B1598" s="134" t="s">
        <v>2556</v>
      </c>
      <c r="C1598" s="71" t="s">
        <v>1975</v>
      </c>
      <c r="D1598" s="39" t="s">
        <v>2585</v>
      </c>
      <c r="E1598" s="87">
        <v>45307</v>
      </c>
    </row>
    <row r="1599" spans="1:5" x14ac:dyDescent="0.35">
      <c r="A1599">
        <v>1</v>
      </c>
      <c r="B1599" s="135" t="s">
        <v>2522</v>
      </c>
      <c r="C1599" s="71" t="s">
        <v>1975</v>
      </c>
      <c r="D1599" s="39" t="s">
        <v>2585</v>
      </c>
      <c r="E1599" s="87">
        <v>45307</v>
      </c>
    </row>
    <row r="1600" spans="1:5" x14ac:dyDescent="0.35">
      <c r="A1600">
        <v>1</v>
      </c>
      <c r="B1600" s="135" t="s">
        <v>2567</v>
      </c>
      <c r="C1600" s="71" t="s">
        <v>1975</v>
      </c>
      <c r="D1600" s="39" t="s">
        <v>2585</v>
      </c>
      <c r="E1600" s="87">
        <v>45307</v>
      </c>
    </row>
    <row r="1601" spans="1:5" x14ac:dyDescent="0.35">
      <c r="A1601">
        <v>1</v>
      </c>
      <c r="B1601" s="135" t="s">
        <v>2571</v>
      </c>
      <c r="C1601" s="71" t="s">
        <v>1975</v>
      </c>
      <c r="D1601" s="39" t="s">
        <v>2585</v>
      </c>
      <c r="E1601" s="87">
        <v>45307</v>
      </c>
    </row>
    <row r="1602" spans="1:5" x14ac:dyDescent="0.35">
      <c r="A1602">
        <v>1</v>
      </c>
      <c r="B1602" s="135" t="s">
        <v>2586</v>
      </c>
      <c r="C1602" s="71" t="s">
        <v>1968</v>
      </c>
      <c r="D1602" s="39" t="s">
        <v>2585</v>
      </c>
      <c r="E1602" s="87">
        <v>45307</v>
      </c>
    </row>
    <row r="1603" spans="1:5" x14ac:dyDescent="0.35">
      <c r="A1603">
        <v>1</v>
      </c>
      <c r="B1603" s="135" t="s">
        <v>395</v>
      </c>
      <c r="C1603" s="71" t="s">
        <v>1975</v>
      </c>
      <c r="D1603" s="39" t="s">
        <v>2585</v>
      </c>
      <c r="E1603" s="87">
        <v>45307</v>
      </c>
    </row>
    <row r="1604" spans="1:5" x14ac:dyDescent="0.35">
      <c r="A1604">
        <v>1</v>
      </c>
      <c r="B1604" s="135" t="s">
        <v>1787</v>
      </c>
      <c r="C1604" s="71" t="s">
        <v>1968</v>
      </c>
      <c r="D1604" s="39" t="s">
        <v>2585</v>
      </c>
      <c r="E1604" s="87">
        <v>45307</v>
      </c>
    </row>
    <row r="1605" spans="1:5" x14ac:dyDescent="0.35">
      <c r="A1605">
        <v>1</v>
      </c>
      <c r="B1605" s="135" t="s">
        <v>2587</v>
      </c>
      <c r="C1605" s="71" t="s">
        <v>1968</v>
      </c>
      <c r="D1605" s="39" t="s">
        <v>2588</v>
      </c>
      <c r="E1605" s="87">
        <v>45316</v>
      </c>
    </row>
    <row r="1606" spans="1:5" x14ac:dyDescent="0.35">
      <c r="A1606">
        <v>1</v>
      </c>
      <c r="B1606" s="135" t="s">
        <v>2589</v>
      </c>
      <c r="C1606" s="71" t="s">
        <v>1968</v>
      </c>
      <c r="D1606" s="39" t="s">
        <v>2588</v>
      </c>
      <c r="E1606" s="87">
        <v>45316</v>
      </c>
    </row>
    <row r="1607" spans="1:5" x14ac:dyDescent="0.35">
      <c r="A1607">
        <v>1</v>
      </c>
      <c r="B1607" s="135" t="s">
        <v>2489</v>
      </c>
      <c r="C1607" s="71" t="s">
        <v>1970</v>
      </c>
      <c r="D1607" s="39" t="s">
        <v>2588</v>
      </c>
      <c r="E1607" s="87">
        <v>45316</v>
      </c>
    </row>
    <row r="1608" spans="1:5" x14ac:dyDescent="0.35">
      <c r="A1608">
        <v>1</v>
      </c>
      <c r="B1608" s="135" t="s">
        <v>2586</v>
      </c>
      <c r="C1608" s="71" t="s">
        <v>1975</v>
      </c>
      <c r="D1608" s="39" t="s">
        <v>2588</v>
      </c>
      <c r="E1608" s="87">
        <v>45316</v>
      </c>
    </row>
    <row r="1609" spans="1:5" x14ac:dyDescent="0.35">
      <c r="A1609">
        <v>1</v>
      </c>
      <c r="B1609" s="135" t="s">
        <v>2590</v>
      </c>
      <c r="C1609" s="71" t="s">
        <v>1968</v>
      </c>
      <c r="D1609" s="39" t="s">
        <v>2591</v>
      </c>
      <c r="E1609" s="87">
        <v>45330</v>
      </c>
    </row>
    <row r="1610" spans="1:5" x14ac:dyDescent="0.35">
      <c r="A1610">
        <v>1</v>
      </c>
      <c r="B1610" s="135" t="s">
        <v>2592</v>
      </c>
      <c r="C1610" s="71" t="s">
        <v>1968</v>
      </c>
      <c r="D1610" s="39" t="s">
        <v>2593</v>
      </c>
      <c r="E1610" s="87">
        <v>45338</v>
      </c>
    </row>
    <row r="1611" spans="1:5" x14ac:dyDescent="0.35">
      <c r="A1611">
        <v>1</v>
      </c>
      <c r="B1611" s="135" t="s">
        <v>2590</v>
      </c>
      <c r="C1611" s="71" t="s">
        <v>1975</v>
      </c>
      <c r="D1611" s="39" t="s">
        <v>2593</v>
      </c>
      <c r="E1611" s="87">
        <v>45338</v>
      </c>
    </row>
    <row r="1612" spans="1:5" x14ac:dyDescent="0.35">
      <c r="A1612">
        <v>1</v>
      </c>
      <c r="B1612" s="172" t="s">
        <v>2393</v>
      </c>
      <c r="C1612" s="71" t="s">
        <v>1976</v>
      </c>
      <c r="D1612" s="39" t="s">
        <v>2594</v>
      </c>
      <c r="E1612" s="87">
        <v>45344</v>
      </c>
    </row>
    <row r="1613" spans="1:5" x14ac:dyDescent="0.35">
      <c r="A1613">
        <v>1</v>
      </c>
      <c r="B1613" s="172" t="s">
        <v>2526</v>
      </c>
      <c r="C1613" s="71" t="s">
        <v>1976</v>
      </c>
      <c r="D1613" s="39" t="s">
        <v>2594</v>
      </c>
      <c r="E1613" s="87">
        <v>45344</v>
      </c>
    </row>
    <row r="1614" spans="1:5" x14ac:dyDescent="0.35">
      <c r="A1614">
        <v>1</v>
      </c>
      <c r="B1614" s="172" t="s">
        <v>2559</v>
      </c>
      <c r="C1614" s="71" t="s">
        <v>1976</v>
      </c>
      <c r="D1614" s="39" t="s">
        <v>2594</v>
      </c>
      <c r="E1614" s="87">
        <v>45344</v>
      </c>
    </row>
    <row r="1615" spans="1:5" x14ac:dyDescent="0.35">
      <c r="A1615">
        <v>1</v>
      </c>
      <c r="B1615" s="172" t="s">
        <v>2587</v>
      </c>
      <c r="C1615" s="71" t="s">
        <v>1976</v>
      </c>
      <c r="D1615" s="39" t="s">
        <v>2594</v>
      </c>
      <c r="E1615" s="87">
        <v>45344</v>
      </c>
    </row>
    <row r="1616" spans="1:5" x14ac:dyDescent="0.35">
      <c r="A1616">
        <v>1</v>
      </c>
      <c r="B1616" s="172" t="s">
        <v>2590</v>
      </c>
      <c r="C1616" s="71" t="s">
        <v>1976</v>
      </c>
      <c r="D1616" s="39" t="s">
        <v>2594</v>
      </c>
      <c r="E1616" s="87">
        <v>45344</v>
      </c>
    </row>
    <row r="1617" spans="1:8" x14ac:dyDescent="0.35">
      <c r="A1617">
        <v>1</v>
      </c>
      <c r="B1617" s="172" t="s">
        <v>2590</v>
      </c>
      <c r="C1617" s="71" t="s">
        <v>1970</v>
      </c>
      <c r="D1617" s="39" t="s">
        <v>2595</v>
      </c>
      <c r="E1617" s="87">
        <v>45355</v>
      </c>
    </row>
    <row r="1618" spans="1:8" x14ac:dyDescent="0.35">
      <c r="A1618">
        <v>1</v>
      </c>
      <c r="B1618" s="172" t="s">
        <v>2393</v>
      </c>
      <c r="C1618" s="71" t="s">
        <v>1976</v>
      </c>
      <c r="D1618" s="39" t="s">
        <v>2596</v>
      </c>
      <c r="E1618" s="87">
        <v>45358</v>
      </c>
    </row>
    <row r="1619" spans="1:8" x14ac:dyDescent="0.35">
      <c r="A1619">
        <v>1</v>
      </c>
      <c r="B1619" s="172" t="s">
        <v>2526</v>
      </c>
      <c r="C1619" s="71" t="s">
        <v>1976</v>
      </c>
      <c r="D1619" s="39" t="s">
        <v>2596</v>
      </c>
      <c r="E1619" s="87">
        <v>45358</v>
      </c>
    </row>
    <row r="1620" spans="1:8" x14ac:dyDescent="0.35">
      <c r="A1620">
        <v>1</v>
      </c>
      <c r="B1620" s="172" t="s">
        <v>2559</v>
      </c>
      <c r="C1620" s="71" t="s">
        <v>1976</v>
      </c>
      <c r="D1620" s="39" t="s">
        <v>2596</v>
      </c>
      <c r="E1620" s="87">
        <v>45358</v>
      </c>
    </row>
    <row r="1621" spans="1:8" x14ac:dyDescent="0.35">
      <c r="A1621">
        <v>1</v>
      </c>
      <c r="B1621" s="172" t="s">
        <v>2587</v>
      </c>
      <c r="C1621" s="71" t="s">
        <v>1976</v>
      </c>
      <c r="D1621" s="39" t="s">
        <v>2596</v>
      </c>
      <c r="E1621" s="87">
        <v>45358</v>
      </c>
    </row>
    <row r="1622" spans="1:8" x14ac:dyDescent="0.35">
      <c r="A1622">
        <v>1</v>
      </c>
      <c r="B1622" s="172" t="s">
        <v>2393</v>
      </c>
      <c r="C1622" s="71" t="s">
        <v>1970</v>
      </c>
      <c r="D1622" s="39" t="s">
        <v>2597</v>
      </c>
      <c r="E1622" s="87">
        <v>45365</v>
      </c>
    </row>
    <row r="1623" spans="1:8" x14ac:dyDescent="0.35">
      <c r="A1623">
        <v>1</v>
      </c>
      <c r="B1623" s="172" t="s">
        <v>2526</v>
      </c>
      <c r="C1623" s="71" t="s">
        <v>1970</v>
      </c>
      <c r="D1623" s="39" t="s">
        <v>2597</v>
      </c>
      <c r="E1623" s="87">
        <v>45365</v>
      </c>
    </row>
    <row r="1624" spans="1:8" x14ac:dyDescent="0.35">
      <c r="A1624">
        <v>1</v>
      </c>
      <c r="B1624" s="172" t="s">
        <v>2559</v>
      </c>
      <c r="C1624" s="71" t="s">
        <v>1970</v>
      </c>
      <c r="D1624" s="39" t="s">
        <v>2597</v>
      </c>
      <c r="E1624" s="87">
        <v>45365</v>
      </c>
    </row>
    <row r="1625" spans="1:8" x14ac:dyDescent="0.35">
      <c r="A1625">
        <v>1</v>
      </c>
      <c r="B1625" s="172" t="s">
        <v>2587</v>
      </c>
      <c r="C1625" s="71" t="s">
        <v>1970</v>
      </c>
      <c r="D1625" s="39" t="s">
        <v>2597</v>
      </c>
      <c r="E1625" s="87">
        <v>45365</v>
      </c>
    </row>
    <row r="1626" spans="1:8" x14ac:dyDescent="0.35">
      <c r="A1626">
        <v>1</v>
      </c>
      <c r="B1626" s="172" t="s">
        <v>2559</v>
      </c>
      <c r="C1626" s="71" t="s">
        <v>1974</v>
      </c>
      <c r="D1626" s="39" t="s">
        <v>2598</v>
      </c>
      <c r="E1626" s="87">
        <v>45369</v>
      </c>
    </row>
    <row r="1627" spans="1:8" x14ac:dyDescent="0.35">
      <c r="A1627">
        <v>1</v>
      </c>
      <c r="B1627" s="39" t="s">
        <v>2525</v>
      </c>
      <c r="C1627" s="71" t="s">
        <v>1976</v>
      </c>
      <c r="D1627" s="39" t="s">
        <v>2598</v>
      </c>
      <c r="E1627" s="87">
        <v>45369</v>
      </c>
    </row>
    <row r="1628" spans="1:8" x14ac:dyDescent="0.35">
      <c r="A1628">
        <v>1</v>
      </c>
      <c r="B1628" s="39" t="s">
        <v>2522</v>
      </c>
      <c r="C1628" s="71" t="s">
        <v>1976</v>
      </c>
      <c r="D1628" s="39" t="s">
        <v>2598</v>
      </c>
      <c r="E1628" s="87">
        <v>45369</v>
      </c>
    </row>
    <row r="1629" spans="1:8" x14ac:dyDescent="0.35">
      <c r="A1629">
        <v>1</v>
      </c>
      <c r="B1629" s="39" t="s">
        <v>2567</v>
      </c>
      <c r="C1629" s="71" t="s">
        <v>1975</v>
      </c>
      <c r="D1629" s="39" t="s">
        <v>2599</v>
      </c>
      <c r="E1629" s="87">
        <v>45372</v>
      </c>
      <c r="H1629" s="2"/>
    </row>
    <row r="1630" spans="1:8" x14ac:dyDescent="0.35">
      <c r="A1630">
        <v>1</v>
      </c>
      <c r="B1630" s="39" t="s">
        <v>2600</v>
      </c>
      <c r="C1630" s="71" t="s">
        <v>1968</v>
      </c>
      <c r="D1630" s="39" t="s">
        <v>2599</v>
      </c>
      <c r="E1630" s="87">
        <v>45372</v>
      </c>
    </row>
    <row r="1631" spans="1:8" x14ac:dyDescent="0.35">
      <c r="A1631">
        <v>1</v>
      </c>
      <c r="B1631" s="39" t="s">
        <v>2601</v>
      </c>
      <c r="C1631" s="71" t="s">
        <v>1968</v>
      </c>
      <c r="D1631" s="39" t="s">
        <v>2599</v>
      </c>
      <c r="E1631" s="87">
        <v>45372</v>
      </c>
    </row>
    <row r="1632" spans="1:8" x14ac:dyDescent="0.35">
      <c r="A1632">
        <v>1</v>
      </c>
      <c r="B1632" s="39" t="s">
        <v>2556</v>
      </c>
      <c r="C1632" s="71" t="s">
        <v>1975</v>
      </c>
      <c r="D1632" s="39" t="s">
        <v>2602</v>
      </c>
      <c r="E1632" s="87">
        <v>45386</v>
      </c>
    </row>
    <row r="1633" spans="1:6" x14ac:dyDescent="0.35">
      <c r="A1633">
        <v>1</v>
      </c>
      <c r="B1633" s="39" t="s">
        <v>2567</v>
      </c>
      <c r="C1633" s="71" t="s">
        <v>1975</v>
      </c>
      <c r="D1633" s="39" t="s">
        <v>2602</v>
      </c>
      <c r="E1633" s="87">
        <v>45386</v>
      </c>
    </row>
    <row r="1634" spans="1:6" x14ac:dyDescent="0.35">
      <c r="A1634">
        <v>1</v>
      </c>
      <c r="B1634" s="39" t="s">
        <v>2586</v>
      </c>
      <c r="C1634" s="71" t="s">
        <v>1975</v>
      </c>
      <c r="D1634" s="39" t="s">
        <v>2602</v>
      </c>
      <c r="E1634" s="87">
        <v>45386</v>
      </c>
    </row>
    <row r="1635" spans="1:6" x14ac:dyDescent="0.35">
      <c r="A1635">
        <v>1</v>
      </c>
      <c r="B1635" s="39" t="s">
        <v>2600</v>
      </c>
      <c r="C1635" s="71" t="s">
        <v>1975</v>
      </c>
      <c r="D1635" s="39" t="s">
        <v>2602</v>
      </c>
      <c r="E1635" s="87">
        <v>45386</v>
      </c>
    </row>
    <row r="1636" spans="1:6" x14ac:dyDescent="0.35">
      <c r="A1636">
        <v>1</v>
      </c>
      <c r="B1636" s="39" t="s">
        <v>2603</v>
      </c>
      <c r="C1636" s="71" t="s">
        <v>1968</v>
      </c>
      <c r="D1636" s="39" t="s">
        <v>2602</v>
      </c>
      <c r="E1636" s="87">
        <v>45386</v>
      </c>
    </row>
    <row r="1637" spans="1:6" x14ac:dyDescent="0.35">
      <c r="A1637">
        <v>1</v>
      </c>
      <c r="B1637" s="39" t="s">
        <v>2604</v>
      </c>
      <c r="C1637" s="71" t="s">
        <v>1968</v>
      </c>
      <c r="D1637" s="39" t="s">
        <v>2602</v>
      </c>
      <c r="E1637" s="87">
        <v>45386</v>
      </c>
    </row>
    <row r="1638" spans="1:6" x14ac:dyDescent="0.35">
      <c r="A1638">
        <v>1</v>
      </c>
      <c r="B1638" s="39" t="s">
        <v>2605</v>
      </c>
      <c r="C1638" s="71" t="s">
        <v>1968</v>
      </c>
      <c r="D1638" s="39" t="s">
        <v>2606</v>
      </c>
      <c r="E1638" s="87">
        <v>45400</v>
      </c>
    </row>
    <row r="1639" spans="1:6" x14ac:dyDescent="0.35">
      <c r="A1639">
        <v>1</v>
      </c>
      <c r="B1639" s="39" t="s">
        <v>2607</v>
      </c>
      <c r="C1639" s="71" t="s">
        <v>1968</v>
      </c>
      <c r="D1639" s="39" t="s">
        <v>2606</v>
      </c>
      <c r="E1639" s="87">
        <v>45400</v>
      </c>
    </row>
    <row r="1640" spans="1:6" x14ac:dyDescent="0.35">
      <c r="A1640">
        <v>1</v>
      </c>
      <c r="B1640" s="39" t="s">
        <v>2558</v>
      </c>
      <c r="C1640" s="71" t="s">
        <v>1976</v>
      </c>
      <c r="D1640" s="39" t="s">
        <v>2606</v>
      </c>
      <c r="E1640" s="87">
        <v>45400</v>
      </c>
    </row>
    <row r="1641" spans="1:6" x14ac:dyDescent="0.35">
      <c r="A1641">
        <v>1</v>
      </c>
      <c r="B1641" s="39" t="s">
        <v>2567</v>
      </c>
      <c r="C1641" s="71" t="s">
        <v>1976</v>
      </c>
      <c r="D1641" s="39" t="s">
        <v>2606</v>
      </c>
      <c r="E1641" s="87">
        <v>45400</v>
      </c>
    </row>
    <row r="1642" spans="1:6" x14ac:dyDescent="0.35">
      <c r="A1642">
        <v>1</v>
      </c>
      <c r="B1642" s="39" t="s">
        <v>2571</v>
      </c>
      <c r="C1642" s="71" t="s">
        <v>1976</v>
      </c>
      <c r="D1642" s="39" t="s">
        <v>2606</v>
      </c>
      <c r="E1642" s="87">
        <v>45400</v>
      </c>
    </row>
    <row r="1643" spans="1:6" x14ac:dyDescent="0.35">
      <c r="A1643">
        <v>1</v>
      </c>
      <c r="B1643" s="39" t="s">
        <v>2592</v>
      </c>
      <c r="C1643" s="71" t="s">
        <v>1976</v>
      </c>
      <c r="D1643" s="39" t="s">
        <v>2606</v>
      </c>
      <c r="E1643" s="87">
        <v>45400</v>
      </c>
    </row>
    <row r="1644" spans="1:6" x14ac:dyDescent="0.35">
      <c r="A1644">
        <v>1</v>
      </c>
      <c r="B1644" s="39" t="s">
        <v>2600</v>
      </c>
      <c r="C1644" s="71" t="s">
        <v>1970</v>
      </c>
      <c r="D1644" s="39" t="s">
        <v>2606</v>
      </c>
      <c r="E1644" s="87">
        <v>45400</v>
      </c>
    </row>
    <row r="1645" spans="1:6" x14ac:dyDescent="0.35">
      <c r="A1645">
        <v>1</v>
      </c>
      <c r="B1645" s="39" t="s">
        <v>2608</v>
      </c>
      <c r="C1645" s="71" t="s">
        <v>1968</v>
      </c>
      <c r="D1645" s="39" t="s">
        <v>2609</v>
      </c>
      <c r="E1645" s="87">
        <v>45404</v>
      </c>
    </row>
    <row r="1646" spans="1:6" x14ac:dyDescent="0.35">
      <c r="A1646">
        <v>1</v>
      </c>
      <c r="B1646" s="39" t="s">
        <v>2332</v>
      </c>
      <c r="C1646" s="71" t="s">
        <v>1970</v>
      </c>
      <c r="D1646" s="39" t="s">
        <v>2610</v>
      </c>
      <c r="E1646" s="87">
        <v>45421</v>
      </c>
    </row>
    <row r="1647" spans="1:6" x14ac:dyDescent="0.35">
      <c r="A1647">
        <v>1</v>
      </c>
      <c r="B1647" s="39" t="s">
        <v>2267</v>
      </c>
      <c r="C1647" s="71" t="s">
        <v>1970</v>
      </c>
      <c r="D1647" s="39" t="s">
        <v>2610</v>
      </c>
      <c r="E1647" s="87">
        <v>45421</v>
      </c>
    </row>
    <row r="1648" spans="1:6" x14ac:dyDescent="0.35">
      <c r="A1648">
        <v>1</v>
      </c>
      <c r="B1648" s="39" t="s">
        <v>2589</v>
      </c>
      <c r="C1648" s="71" t="s">
        <v>1975</v>
      </c>
      <c r="D1648" s="39" t="s">
        <v>2611</v>
      </c>
      <c r="E1648" s="115">
        <v>45428</v>
      </c>
      <c r="F1648" s="143"/>
    </row>
    <row r="1649" spans="1:6" x14ac:dyDescent="0.35">
      <c r="A1649">
        <v>1</v>
      </c>
      <c r="B1649" s="39" t="s">
        <v>2592</v>
      </c>
      <c r="C1649" s="71" t="s">
        <v>1975</v>
      </c>
      <c r="D1649" s="39" t="s">
        <v>2611</v>
      </c>
      <c r="E1649" s="115">
        <v>45428</v>
      </c>
      <c r="F1649" s="143"/>
    </row>
    <row r="1650" spans="1:6" x14ac:dyDescent="0.35">
      <c r="A1650">
        <v>1</v>
      </c>
      <c r="B1650" s="39" t="s">
        <v>2607</v>
      </c>
      <c r="C1650" s="71" t="s">
        <v>1975</v>
      </c>
      <c r="D1650" s="39" t="s">
        <v>2611</v>
      </c>
      <c r="E1650" s="115">
        <v>45428</v>
      </c>
      <c r="F1650" s="143"/>
    </row>
    <row r="1651" spans="1:6" x14ac:dyDescent="0.35">
      <c r="A1651">
        <v>1</v>
      </c>
      <c r="B1651" s="39" t="s">
        <v>2558</v>
      </c>
      <c r="C1651" s="71" t="s">
        <v>1976</v>
      </c>
      <c r="D1651" s="39" t="s">
        <v>2611</v>
      </c>
      <c r="E1651" s="115">
        <v>45428</v>
      </c>
      <c r="F1651" s="143"/>
    </row>
    <row r="1652" spans="1:6" x14ac:dyDescent="0.35">
      <c r="A1652">
        <v>1</v>
      </c>
      <c r="B1652" s="39" t="s">
        <v>2567</v>
      </c>
      <c r="C1652" s="71" t="s">
        <v>1976</v>
      </c>
      <c r="D1652" s="39" t="s">
        <v>2611</v>
      </c>
      <c r="E1652" s="115">
        <v>45428</v>
      </c>
    </row>
    <row r="1653" spans="1:6" x14ac:dyDescent="0.35">
      <c r="A1653">
        <v>1</v>
      </c>
      <c r="B1653" s="39" t="s">
        <v>2571</v>
      </c>
      <c r="C1653" s="71" t="s">
        <v>1976</v>
      </c>
      <c r="D1653" s="39" t="s">
        <v>2611</v>
      </c>
      <c r="E1653" s="115">
        <v>45428</v>
      </c>
    </row>
    <row r="1654" spans="1:6" x14ac:dyDescent="0.35">
      <c r="A1654">
        <v>1</v>
      </c>
      <c r="B1654" s="39" t="s">
        <v>2592</v>
      </c>
      <c r="C1654" s="71" t="s">
        <v>1976</v>
      </c>
      <c r="D1654" s="39" t="s">
        <v>2611</v>
      </c>
      <c r="E1654" s="115">
        <v>45428</v>
      </c>
    </row>
    <row r="1655" spans="1:6" x14ac:dyDescent="0.35">
      <c r="A1655">
        <v>1</v>
      </c>
      <c r="B1655" s="39" t="s">
        <v>2607</v>
      </c>
      <c r="C1655" s="71" t="s">
        <v>1976</v>
      </c>
      <c r="D1655" s="39" t="s">
        <v>2611</v>
      </c>
      <c r="E1655" s="115">
        <v>45428</v>
      </c>
    </row>
    <row r="1656" spans="1:6" x14ac:dyDescent="0.35">
      <c r="A1656">
        <v>1</v>
      </c>
      <c r="B1656" s="39" t="s">
        <v>2522</v>
      </c>
      <c r="C1656" s="71" t="s">
        <v>1976</v>
      </c>
      <c r="D1656" s="39" t="s">
        <v>2611</v>
      </c>
      <c r="E1656" s="115">
        <v>45428</v>
      </c>
    </row>
    <row r="1657" spans="1:6" x14ac:dyDescent="0.35">
      <c r="A1657">
        <v>1</v>
      </c>
      <c r="B1657" s="39" t="s">
        <v>2522</v>
      </c>
      <c r="C1657" s="71" t="s">
        <v>1976</v>
      </c>
      <c r="D1657" s="39" t="s">
        <v>2612</v>
      </c>
      <c r="E1657" s="115">
        <v>45442</v>
      </c>
    </row>
    <row r="1658" spans="1:6" x14ac:dyDescent="0.35">
      <c r="A1658">
        <v>1</v>
      </c>
      <c r="B1658" s="39" t="s">
        <v>2586</v>
      </c>
      <c r="C1658" s="71" t="s">
        <v>1970</v>
      </c>
      <c r="D1658" s="39" t="s">
        <v>2612</v>
      </c>
      <c r="E1658" s="115">
        <v>45442</v>
      </c>
    </row>
    <row r="1659" spans="1:6" x14ac:dyDescent="0.35">
      <c r="A1659">
        <v>1</v>
      </c>
      <c r="B1659" s="39" t="s">
        <v>2563</v>
      </c>
      <c r="C1659" s="71" t="s">
        <v>1976</v>
      </c>
      <c r="D1659" s="39" t="s">
        <v>2612</v>
      </c>
      <c r="E1659" s="115">
        <v>45442</v>
      </c>
    </row>
    <row r="1660" spans="1:6" x14ac:dyDescent="0.35">
      <c r="A1660">
        <v>1</v>
      </c>
      <c r="B1660" s="39" t="s">
        <v>2575</v>
      </c>
      <c r="C1660" s="71" t="s">
        <v>1976</v>
      </c>
      <c r="D1660" s="39" t="s">
        <v>2612</v>
      </c>
      <c r="E1660" s="115">
        <v>45442</v>
      </c>
    </row>
    <row r="1661" spans="1:6" x14ac:dyDescent="0.35">
      <c r="A1661">
        <v>1</v>
      </c>
      <c r="B1661" s="39" t="s">
        <v>2581</v>
      </c>
      <c r="C1661" s="71" t="s">
        <v>1976</v>
      </c>
      <c r="D1661" s="39" t="s">
        <v>2612</v>
      </c>
      <c r="E1661" s="115">
        <v>45442</v>
      </c>
    </row>
    <row r="1662" spans="1:6" x14ac:dyDescent="0.35">
      <c r="A1662">
        <v>1</v>
      </c>
      <c r="B1662" s="39" t="s">
        <v>2605</v>
      </c>
      <c r="C1662" s="71" t="s">
        <v>1976</v>
      </c>
      <c r="D1662" s="39" t="s">
        <v>2612</v>
      </c>
      <c r="E1662" s="115">
        <v>45442</v>
      </c>
    </row>
    <row r="1663" spans="1:6" x14ac:dyDescent="0.35">
      <c r="A1663">
        <v>1</v>
      </c>
      <c r="B1663" s="39" t="s">
        <v>1787</v>
      </c>
      <c r="C1663" s="71" t="s">
        <v>1976</v>
      </c>
      <c r="D1663" s="39" t="s">
        <v>2612</v>
      </c>
      <c r="E1663" s="115">
        <v>45442</v>
      </c>
    </row>
    <row r="1664" spans="1:6" x14ac:dyDescent="0.35">
      <c r="A1664">
        <v>1</v>
      </c>
      <c r="B1664" s="39" t="s">
        <v>2613</v>
      </c>
      <c r="C1664" s="71" t="s">
        <v>1968</v>
      </c>
      <c r="D1664" s="39" t="s">
        <v>2614</v>
      </c>
      <c r="E1664" s="115">
        <v>45456</v>
      </c>
    </row>
    <row r="1665" spans="1:5" x14ac:dyDescent="0.35">
      <c r="A1665">
        <v>1</v>
      </c>
      <c r="B1665" s="39" t="s">
        <v>2563</v>
      </c>
      <c r="C1665" s="71" t="s">
        <v>1976</v>
      </c>
      <c r="D1665" s="39" t="s">
        <v>2614</v>
      </c>
      <c r="E1665" s="115">
        <v>45456</v>
      </c>
    </row>
    <row r="1666" spans="1:5" x14ac:dyDescent="0.35">
      <c r="A1666">
        <v>1</v>
      </c>
      <c r="B1666" s="39" t="s">
        <v>2575</v>
      </c>
      <c r="C1666" s="71" t="s">
        <v>1976</v>
      </c>
      <c r="D1666" s="39" t="s">
        <v>2614</v>
      </c>
      <c r="E1666" s="115">
        <v>45456</v>
      </c>
    </row>
    <row r="1667" spans="1:5" x14ac:dyDescent="0.35">
      <c r="A1667">
        <v>1</v>
      </c>
      <c r="B1667" s="39" t="s">
        <v>2581</v>
      </c>
      <c r="C1667" s="71" t="s">
        <v>1976</v>
      </c>
      <c r="D1667" s="39" t="s">
        <v>2614</v>
      </c>
      <c r="E1667" s="115">
        <v>45456</v>
      </c>
    </row>
    <row r="1668" spans="1:5" x14ac:dyDescent="0.35">
      <c r="A1668">
        <v>1</v>
      </c>
      <c r="B1668" s="39" t="s">
        <v>2605</v>
      </c>
      <c r="C1668" s="71" t="s">
        <v>1976</v>
      </c>
      <c r="D1668" s="39" t="s">
        <v>2614</v>
      </c>
      <c r="E1668" s="115">
        <v>45456</v>
      </c>
    </row>
    <row r="1669" spans="1:5" x14ac:dyDescent="0.35">
      <c r="A1669">
        <v>1</v>
      </c>
      <c r="B1669" s="39" t="s">
        <v>2563</v>
      </c>
      <c r="C1669" s="71" t="s">
        <v>1970</v>
      </c>
      <c r="D1669" s="39" t="s">
        <v>2615</v>
      </c>
      <c r="E1669" s="115">
        <v>45464</v>
      </c>
    </row>
    <row r="1670" spans="1:5" x14ac:dyDescent="0.35">
      <c r="A1670">
        <v>1</v>
      </c>
      <c r="B1670" s="39" t="s">
        <v>2575</v>
      </c>
      <c r="C1670" s="71" t="s">
        <v>1970</v>
      </c>
      <c r="D1670" s="39" t="s">
        <v>2615</v>
      </c>
      <c r="E1670" s="115">
        <v>45464</v>
      </c>
    </row>
    <row r="1671" spans="1:5" x14ac:dyDescent="0.35">
      <c r="A1671">
        <v>1</v>
      </c>
      <c r="B1671" s="39" t="s">
        <v>2581</v>
      </c>
      <c r="C1671" s="71" t="s">
        <v>1970</v>
      </c>
      <c r="D1671" s="39" t="s">
        <v>2615</v>
      </c>
      <c r="E1671" s="115">
        <v>45464</v>
      </c>
    </row>
    <row r="1672" spans="1:5" x14ac:dyDescent="0.35">
      <c r="A1672">
        <v>1</v>
      </c>
      <c r="B1672" s="39" t="s">
        <v>2605</v>
      </c>
      <c r="C1672" s="71" t="s">
        <v>1970</v>
      </c>
      <c r="D1672" s="39" t="s">
        <v>2615</v>
      </c>
      <c r="E1672" s="115">
        <v>45464</v>
      </c>
    </row>
    <row r="1673" spans="1:5" x14ac:dyDescent="0.35">
      <c r="A1673">
        <v>1</v>
      </c>
      <c r="B1673" s="39" t="s">
        <v>2616</v>
      </c>
      <c r="C1673" s="71" t="s">
        <v>1968</v>
      </c>
      <c r="D1673" s="39" t="s">
        <v>2617</v>
      </c>
      <c r="E1673" s="87">
        <v>45470</v>
      </c>
    </row>
    <row r="1674" spans="1:5" x14ac:dyDescent="0.35">
      <c r="A1674">
        <v>1</v>
      </c>
      <c r="B1674" s="39" t="s">
        <v>2618</v>
      </c>
      <c r="C1674" s="71" t="s">
        <v>1968</v>
      </c>
      <c r="D1674" s="39" t="s">
        <v>2617</v>
      </c>
      <c r="E1674" s="87">
        <v>45470</v>
      </c>
    </row>
    <row r="1675" spans="1:5" x14ac:dyDescent="0.35">
      <c r="A1675">
        <v>1</v>
      </c>
      <c r="B1675" s="39" t="s">
        <v>2619</v>
      </c>
      <c r="C1675" s="71" t="s">
        <v>1968</v>
      </c>
      <c r="D1675" s="39" t="s">
        <v>2617</v>
      </c>
      <c r="E1675" s="87">
        <v>45470</v>
      </c>
    </row>
    <row r="1676" spans="1:5" x14ac:dyDescent="0.35">
      <c r="A1676">
        <v>1</v>
      </c>
      <c r="B1676" s="39" t="s">
        <v>2620</v>
      </c>
      <c r="C1676" s="71" t="s">
        <v>1968</v>
      </c>
      <c r="D1676" s="39" t="s">
        <v>2621</v>
      </c>
      <c r="E1676" s="87">
        <v>45498</v>
      </c>
    </row>
    <row r="1677" spans="1:5" x14ac:dyDescent="0.35">
      <c r="A1677">
        <v>1</v>
      </c>
      <c r="B1677" s="39" t="s">
        <v>2622</v>
      </c>
      <c r="C1677" s="71" t="s">
        <v>1968</v>
      </c>
      <c r="D1677" s="39" t="s">
        <v>2623</v>
      </c>
      <c r="E1677" s="87">
        <v>45512</v>
      </c>
    </row>
    <row r="1678" spans="1:5" x14ac:dyDescent="0.35">
      <c r="A1678">
        <v>1</v>
      </c>
      <c r="B1678" s="39" t="s">
        <v>2592</v>
      </c>
      <c r="C1678" s="71" t="s">
        <v>1970</v>
      </c>
      <c r="D1678" s="39" t="s">
        <v>2623</v>
      </c>
      <c r="E1678" s="87">
        <v>45512</v>
      </c>
    </row>
    <row r="1679" spans="1:5" x14ac:dyDescent="0.35">
      <c r="A1679">
        <v>1</v>
      </c>
      <c r="B1679" s="39" t="s">
        <v>2398</v>
      </c>
      <c r="C1679" s="71" t="s">
        <v>1976</v>
      </c>
      <c r="D1679" s="39" t="s">
        <v>2624</v>
      </c>
      <c r="E1679" s="87">
        <v>45527</v>
      </c>
    </row>
    <row r="1680" spans="1:5" x14ac:dyDescent="0.35">
      <c r="A1680">
        <v>1</v>
      </c>
      <c r="B1680" s="39" t="s">
        <v>1787</v>
      </c>
      <c r="C1680" s="71" t="s">
        <v>1970</v>
      </c>
      <c r="D1680" s="39" t="s">
        <v>2624</v>
      </c>
      <c r="E1680" s="87">
        <v>45527</v>
      </c>
    </row>
    <row r="1681" spans="1:5" x14ac:dyDescent="0.35">
      <c r="A1681">
        <v>1</v>
      </c>
      <c r="B1681" s="39" t="s">
        <v>2493</v>
      </c>
      <c r="C1681" s="71" t="s">
        <v>1970</v>
      </c>
      <c r="D1681" s="39" t="s">
        <v>2624</v>
      </c>
      <c r="E1681" s="87">
        <v>45527</v>
      </c>
    </row>
    <row r="1682" spans="1:5" x14ac:dyDescent="0.35">
      <c r="A1682">
        <v>1</v>
      </c>
      <c r="B1682" s="39" t="s">
        <v>2504</v>
      </c>
      <c r="C1682" s="71" t="s">
        <v>1970</v>
      </c>
      <c r="D1682" s="39" t="s">
        <v>2624</v>
      </c>
      <c r="E1682" s="87">
        <v>45527</v>
      </c>
    </row>
    <row r="1683" spans="1:5" x14ac:dyDescent="0.35">
      <c r="A1683">
        <v>1</v>
      </c>
      <c r="B1683" s="39" t="s">
        <v>2512</v>
      </c>
      <c r="C1683" s="71" t="s">
        <v>1970</v>
      </c>
      <c r="D1683" s="39" t="s">
        <v>2624</v>
      </c>
      <c r="E1683" s="87">
        <v>45527</v>
      </c>
    </row>
    <row r="1684" spans="1:5" x14ac:dyDescent="0.35">
      <c r="A1684">
        <v>1</v>
      </c>
      <c r="B1684" s="39" t="s">
        <v>2517</v>
      </c>
      <c r="C1684" s="71" t="s">
        <v>1970</v>
      </c>
      <c r="D1684" s="39" t="s">
        <v>2624</v>
      </c>
      <c r="E1684" s="87">
        <v>45527</v>
      </c>
    </row>
    <row r="1685" spans="1:5" x14ac:dyDescent="0.35">
      <c r="A1685">
        <v>1</v>
      </c>
      <c r="B1685" s="39" t="s">
        <v>2519</v>
      </c>
      <c r="C1685" s="71" t="s">
        <v>1970</v>
      </c>
      <c r="D1685" s="39" t="s">
        <v>2624</v>
      </c>
      <c r="E1685" s="87">
        <v>45527</v>
      </c>
    </row>
    <row r="1686" spans="1:5" x14ac:dyDescent="0.35">
      <c r="A1686">
        <v>1</v>
      </c>
      <c r="B1686" s="39" t="s">
        <v>2522</v>
      </c>
      <c r="C1686" s="71" t="s">
        <v>1970</v>
      </c>
      <c r="D1686" s="39" t="s">
        <v>2624</v>
      </c>
      <c r="E1686" s="87">
        <v>45527</v>
      </c>
    </row>
    <row r="1687" spans="1:5" x14ac:dyDescent="0.35">
      <c r="A1687">
        <v>1</v>
      </c>
      <c r="B1687" s="39" t="s">
        <v>2525</v>
      </c>
      <c r="C1687" s="71" t="s">
        <v>1970</v>
      </c>
      <c r="D1687" s="39" t="s">
        <v>2624</v>
      </c>
      <c r="E1687" s="87">
        <v>45527</v>
      </c>
    </row>
    <row r="1688" spans="1:5" x14ac:dyDescent="0.35">
      <c r="A1688">
        <v>1</v>
      </c>
      <c r="B1688" s="39" t="s">
        <v>2542</v>
      </c>
      <c r="C1688" s="71" t="s">
        <v>1970</v>
      </c>
      <c r="D1688" s="39" t="s">
        <v>2624</v>
      </c>
      <c r="E1688" s="87">
        <v>45527</v>
      </c>
    </row>
    <row r="1689" spans="1:5" x14ac:dyDescent="0.35">
      <c r="A1689">
        <v>1</v>
      </c>
      <c r="B1689" s="39" t="s">
        <v>2549</v>
      </c>
      <c r="C1689" s="71" t="s">
        <v>1970</v>
      </c>
      <c r="D1689" s="39" t="s">
        <v>2624</v>
      </c>
      <c r="E1689" s="87">
        <v>45527</v>
      </c>
    </row>
    <row r="1690" spans="1:5" x14ac:dyDescent="0.35">
      <c r="A1690">
        <v>1</v>
      </c>
      <c r="B1690" s="39" t="s">
        <v>2550</v>
      </c>
      <c r="C1690" s="71" t="s">
        <v>1970</v>
      </c>
      <c r="D1690" s="39" t="s">
        <v>2624</v>
      </c>
      <c r="E1690" s="87">
        <v>45527</v>
      </c>
    </row>
    <row r="1691" spans="1:5" x14ac:dyDescent="0.35">
      <c r="A1691">
        <v>1</v>
      </c>
      <c r="B1691" s="39" t="s">
        <v>2556</v>
      </c>
      <c r="C1691" s="71" t="s">
        <v>1970</v>
      </c>
      <c r="D1691" s="39" t="s">
        <v>2624</v>
      </c>
      <c r="E1691" s="87">
        <v>45527</v>
      </c>
    </row>
    <row r="1692" spans="1:5" x14ac:dyDescent="0.35">
      <c r="A1692">
        <v>1</v>
      </c>
      <c r="B1692" s="39" t="s">
        <v>2558</v>
      </c>
      <c r="C1692" s="71" t="s">
        <v>1970</v>
      </c>
      <c r="D1692" s="39" t="s">
        <v>2624</v>
      </c>
      <c r="E1692" s="87">
        <v>45527</v>
      </c>
    </row>
    <row r="1693" spans="1:5" x14ac:dyDescent="0.35">
      <c r="A1693">
        <v>1</v>
      </c>
      <c r="B1693" s="39" t="s">
        <v>2559</v>
      </c>
      <c r="C1693" s="71" t="s">
        <v>1970</v>
      </c>
      <c r="D1693" s="39" t="s">
        <v>2624</v>
      </c>
      <c r="E1693" s="87">
        <v>45527</v>
      </c>
    </row>
    <row r="1694" spans="1:5" x14ac:dyDescent="0.35">
      <c r="A1694">
        <v>1</v>
      </c>
      <c r="B1694" s="39" t="s">
        <v>2567</v>
      </c>
      <c r="C1694" s="71" t="s">
        <v>1970</v>
      </c>
      <c r="D1694" s="39" t="s">
        <v>2624</v>
      </c>
      <c r="E1694" s="87">
        <v>45527</v>
      </c>
    </row>
    <row r="1695" spans="1:5" x14ac:dyDescent="0.35">
      <c r="A1695">
        <v>1</v>
      </c>
      <c r="B1695" s="39" t="s">
        <v>2570</v>
      </c>
      <c r="C1695" s="71" t="s">
        <v>1970</v>
      </c>
      <c r="D1695" s="39" t="s">
        <v>2624</v>
      </c>
      <c r="E1695" s="87">
        <v>45527</v>
      </c>
    </row>
    <row r="1696" spans="1:5" x14ac:dyDescent="0.35">
      <c r="A1696">
        <v>1</v>
      </c>
      <c r="B1696" s="39" t="s">
        <v>2571</v>
      </c>
      <c r="C1696" s="71" t="s">
        <v>1970</v>
      </c>
      <c r="D1696" s="39" t="s">
        <v>2624</v>
      </c>
      <c r="E1696" s="87">
        <v>45527</v>
      </c>
    </row>
    <row r="1697" spans="1:5" x14ac:dyDescent="0.35">
      <c r="A1697">
        <v>1</v>
      </c>
      <c r="B1697" s="39" t="s">
        <v>2589</v>
      </c>
      <c r="C1697" s="71" t="s">
        <v>1970</v>
      </c>
      <c r="D1697" s="39" t="s">
        <v>2624</v>
      </c>
      <c r="E1697" s="87">
        <v>45527</v>
      </c>
    </row>
    <row r="1698" spans="1:5" x14ac:dyDescent="0.35">
      <c r="A1698">
        <v>1</v>
      </c>
      <c r="B1698" s="39" t="s">
        <v>2622</v>
      </c>
      <c r="C1698" s="71" t="s">
        <v>1970</v>
      </c>
      <c r="D1698" s="39" t="s">
        <v>2624</v>
      </c>
      <c r="E1698" s="87">
        <v>45527</v>
      </c>
    </row>
    <row r="1699" spans="1:5" x14ac:dyDescent="0.35">
      <c r="A1699">
        <v>1</v>
      </c>
      <c r="B1699" s="39" t="s">
        <v>2607</v>
      </c>
      <c r="C1699" s="71" t="s">
        <v>1970</v>
      </c>
      <c r="D1699" s="39" t="s">
        <v>2624</v>
      </c>
      <c r="E1699" s="87">
        <v>45527</v>
      </c>
    </row>
    <row r="1700" spans="1:5" x14ac:dyDescent="0.35">
      <c r="A1700">
        <v>1</v>
      </c>
      <c r="B1700" s="39" t="s">
        <v>2625</v>
      </c>
      <c r="C1700" s="71" t="s">
        <v>1968</v>
      </c>
      <c r="D1700" s="39" t="s">
        <v>2624</v>
      </c>
      <c r="E1700" s="87">
        <v>45527</v>
      </c>
    </row>
    <row r="1701" spans="1:5" x14ac:dyDescent="0.35">
      <c r="A1701">
        <v>1</v>
      </c>
      <c r="B1701" s="39" t="s">
        <v>2613</v>
      </c>
      <c r="C1701" s="71" t="s">
        <v>1970</v>
      </c>
      <c r="D1701" s="39" t="s">
        <v>2624</v>
      </c>
      <c r="E1701" s="87">
        <v>45527</v>
      </c>
    </row>
    <row r="1702" spans="1:5" x14ac:dyDescent="0.35">
      <c r="A1702">
        <v>1</v>
      </c>
      <c r="B1702" s="107" t="s">
        <v>341</v>
      </c>
      <c r="C1702" s="71" t="s">
        <v>1970</v>
      </c>
      <c r="D1702" s="39" t="s">
        <v>2624</v>
      </c>
      <c r="E1702" s="87">
        <v>45527</v>
      </c>
    </row>
    <row r="1703" spans="1:5" x14ac:dyDescent="0.35">
      <c r="A1703">
        <v>1</v>
      </c>
      <c r="B1703" s="173" t="s">
        <v>1820</v>
      </c>
      <c r="C1703" s="71" t="s">
        <v>1976</v>
      </c>
      <c r="D1703" s="39" t="s">
        <v>2624</v>
      </c>
      <c r="E1703" s="87">
        <v>45527</v>
      </c>
    </row>
    <row r="1704" spans="1:5" x14ac:dyDescent="0.35">
      <c r="A1704">
        <v>1</v>
      </c>
      <c r="B1704" s="39" t="s">
        <v>2626</v>
      </c>
      <c r="C1704" s="71" t="s">
        <v>1968</v>
      </c>
      <c r="D1704" s="39" t="s">
        <v>2627</v>
      </c>
      <c r="E1704" s="87">
        <v>45540</v>
      </c>
    </row>
    <row r="1705" spans="1:5" x14ac:dyDescent="0.35">
      <c r="A1705">
        <v>1</v>
      </c>
      <c r="B1705" s="39" t="s">
        <v>2628</v>
      </c>
      <c r="C1705" s="71" t="s">
        <v>1968</v>
      </c>
      <c r="D1705" s="39" t="s">
        <v>2627</v>
      </c>
      <c r="E1705" s="87">
        <v>45540</v>
      </c>
    </row>
    <row r="1706" spans="1:5" x14ac:dyDescent="0.35">
      <c r="A1706">
        <v>1</v>
      </c>
      <c r="B1706" s="39" t="s">
        <v>2618</v>
      </c>
      <c r="C1706" s="71" t="s">
        <v>1976</v>
      </c>
      <c r="D1706" s="39" t="s">
        <v>2627</v>
      </c>
      <c r="E1706" s="87">
        <v>45540</v>
      </c>
    </row>
    <row r="1707" spans="1:5" x14ac:dyDescent="0.35">
      <c r="A1707">
        <v>1</v>
      </c>
      <c r="B1707" s="39" t="s">
        <v>2620</v>
      </c>
      <c r="C1707" s="71" t="s">
        <v>1976</v>
      </c>
      <c r="D1707" s="39" t="s">
        <v>2627</v>
      </c>
      <c r="E1707" s="87">
        <v>45540</v>
      </c>
    </row>
    <row r="1708" spans="1:5" x14ac:dyDescent="0.35">
      <c r="A1708">
        <v>1</v>
      </c>
      <c r="B1708" s="39" t="s">
        <v>2629</v>
      </c>
      <c r="C1708" s="71" t="s">
        <v>1968</v>
      </c>
      <c r="D1708" s="39" t="s">
        <v>2630</v>
      </c>
      <c r="E1708" s="87">
        <v>45554</v>
      </c>
    </row>
    <row r="1709" spans="1:5" x14ac:dyDescent="0.35">
      <c r="A1709">
        <v>1</v>
      </c>
      <c r="B1709" s="39" t="s">
        <v>2631</v>
      </c>
      <c r="C1709" s="71" t="s">
        <v>1968</v>
      </c>
      <c r="D1709" s="39" t="s">
        <v>2630</v>
      </c>
      <c r="E1709" s="87">
        <v>45554</v>
      </c>
    </row>
    <row r="1710" spans="1:5" x14ac:dyDescent="0.35">
      <c r="A1710">
        <v>1</v>
      </c>
      <c r="B1710" s="39" t="s">
        <v>2632</v>
      </c>
      <c r="C1710" s="71" t="s">
        <v>1968</v>
      </c>
      <c r="D1710" s="39" t="s">
        <v>2630</v>
      </c>
      <c r="E1710" s="87">
        <v>45554</v>
      </c>
    </row>
    <row r="1711" spans="1:5" x14ac:dyDescent="0.35">
      <c r="A1711">
        <v>1</v>
      </c>
      <c r="B1711" s="39" t="s">
        <v>2626</v>
      </c>
      <c r="C1711" s="71" t="s">
        <v>1976</v>
      </c>
      <c r="D1711" s="39" t="s">
        <v>2630</v>
      </c>
      <c r="E1711" s="87">
        <v>45554</v>
      </c>
    </row>
    <row r="1712" spans="1:5" x14ac:dyDescent="0.35">
      <c r="A1712">
        <v>1</v>
      </c>
      <c r="B1712" s="39" t="s">
        <v>2625</v>
      </c>
      <c r="C1712" s="71" t="s">
        <v>1975</v>
      </c>
      <c r="D1712" s="39" t="s">
        <v>2630</v>
      </c>
      <c r="E1712" s="87">
        <v>45554</v>
      </c>
    </row>
    <row r="1713" spans="1:5" x14ac:dyDescent="0.35">
      <c r="A1713">
        <v>1</v>
      </c>
      <c r="B1713" s="39" t="s">
        <v>2626</v>
      </c>
      <c r="C1713" s="71" t="s">
        <v>1975</v>
      </c>
      <c r="D1713" s="39" t="s">
        <v>2630</v>
      </c>
      <c r="E1713" s="87">
        <v>45554</v>
      </c>
    </row>
    <row r="1714" spans="1:5" x14ac:dyDescent="0.35">
      <c r="A1714">
        <v>1</v>
      </c>
      <c r="B1714" s="39" t="s">
        <v>2628</v>
      </c>
      <c r="C1714" s="71" t="s">
        <v>1975</v>
      </c>
      <c r="D1714" s="39" t="s">
        <v>2630</v>
      </c>
      <c r="E1714" s="87">
        <v>45554</v>
      </c>
    </row>
    <row r="1715" spans="1:5" x14ac:dyDescent="0.35">
      <c r="A1715">
        <v>1</v>
      </c>
      <c r="B1715" s="39" t="s">
        <v>2629</v>
      </c>
      <c r="C1715" s="71" t="s">
        <v>1975</v>
      </c>
      <c r="D1715" s="39" t="s">
        <v>2630</v>
      </c>
      <c r="E1715" s="87">
        <v>45554</v>
      </c>
    </row>
    <row r="1716" spans="1:5" x14ac:dyDescent="0.35">
      <c r="A1716">
        <v>1</v>
      </c>
      <c r="B1716" s="39" t="s">
        <v>2398</v>
      </c>
      <c r="C1716" s="71" t="s">
        <v>1970</v>
      </c>
      <c r="D1716" s="39" t="s">
        <v>2630</v>
      </c>
      <c r="E1716" s="87">
        <v>45554</v>
      </c>
    </row>
    <row r="1717" spans="1:5" x14ac:dyDescent="0.35">
      <c r="A1717">
        <v>1</v>
      </c>
      <c r="B1717" s="39" t="s">
        <v>2603</v>
      </c>
      <c r="C1717" s="71" t="s">
        <v>1970</v>
      </c>
      <c r="D1717" s="39" t="s">
        <v>2630</v>
      </c>
      <c r="E1717" s="87">
        <v>45554</v>
      </c>
    </row>
    <row r="1718" spans="1:5" x14ac:dyDescent="0.35">
      <c r="A1718">
        <v>1</v>
      </c>
      <c r="B1718" s="39" t="s">
        <v>2618</v>
      </c>
      <c r="C1718" s="71" t="s">
        <v>1970</v>
      </c>
      <c r="D1718" s="39" t="s">
        <v>2630</v>
      </c>
      <c r="E1718" s="87">
        <v>45554</v>
      </c>
    </row>
    <row r="1719" spans="1:5" x14ac:dyDescent="0.35">
      <c r="A1719">
        <v>1</v>
      </c>
      <c r="B1719" s="39" t="s">
        <v>2620</v>
      </c>
      <c r="C1719" s="71" t="s">
        <v>1970</v>
      </c>
      <c r="D1719" s="39" t="s">
        <v>2630</v>
      </c>
      <c r="E1719" s="87">
        <v>45554</v>
      </c>
    </row>
    <row r="1720" spans="1:5" x14ac:dyDescent="0.35">
      <c r="A1720">
        <v>1</v>
      </c>
      <c r="B1720" s="117" t="s">
        <v>1820</v>
      </c>
      <c r="C1720" s="71" t="s">
        <v>1970</v>
      </c>
      <c r="D1720" s="39" t="s">
        <v>2630</v>
      </c>
      <c r="E1720" s="87">
        <v>45554</v>
      </c>
    </row>
    <row r="1721" spans="1:5" x14ac:dyDescent="0.35">
      <c r="A1721">
        <v>1</v>
      </c>
      <c r="B1721" s="39" t="s">
        <v>2625</v>
      </c>
      <c r="C1721" s="71" t="s">
        <v>1976</v>
      </c>
      <c r="D1721" s="39" t="s">
        <v>2630</v>
      </c>
      <c r="E1721" s="87">
        <v>45554</v>
      </c>
    </row>
    <row r="1722" spans="1:5" x14ac:dyDescent="0.35">
      <c r="A1722">
        <v>1</v>
      </c>
      <c r="B1722" s="39" t="s">
        <v>2628</v>
      </c>
      <c r="C1722" s="71" t="s">
        <v>1976</v>
      </c>
      <c r="D1722" s="39" t="s">
        <v>2630</v>
      </c>
      <c r="E1722" s="87">
        <v>45554</v>
      </c>
    </row>
    <row r="1723" spans="1:5" x14ac:dyDescent="0.35">
      <c r="A1723">
        <v>1</v>
      </c>
      <c r="B1723" s="39" t="s">
        <v>2629</v>
      </c>
      <c r="C1723" s="71" t="s">
        <v>1976</v>
      </c>
      <c r="D1723" s="39" t="s">
        <v>2630</v>
      </c>
      <c r="E1723" s="87">
        <v>45554</v>
      </c>
    </row>
    <row r="1724" spans="1:5" x14ac:dyDescent="0.35">
      <c r="A1724">
        <v>1</v>
      </c>
      <c r="B1724" s="39" t="s">
        <v>2633</v>
      </c>
      <c r="C1724" s="71" t="s">
        <v>1968</v>
      </c>
      <c r="D1724" s="39" t="s">
        <v>2630</v>
      </c>
      <c r="E1724" s="87">
        <v>45554</v>
      </c>
    </row>
    <row r="1725" spans="1:5" x14ac:dyDescent="0.35">
      <c r="A1725">
        <v>1</v>
      </c>
      <c r="B1725" s="39" t="s">
        <v>2634</v>
      </c>
      <c r="C1725" s="71" t="s">
        <v>1968</v>
      </c>
      <c r="D1725" s="39" t="s">
        <v>370</v>
      </c>
      <c r="E1725" s="87">
        <v>45569</v>
      </c>
    </row>
    <row r="1726" spans="1:5" x14ac:dyDescent="0.35">
      <c r="A1726">
        <v>1</v>
      </c>
      <c r="B1726" s="39" t="s">
        <v>2635</v>
      </c>
      <c r="C1726" s="71" t="s">
        <v>1968</v>
      </c>
      <c r="D1726" s="39" t="s">
        <v>370</v>
      </c>
      <c r="E1726" s="87">
        <v>45569</v>
      </c>
    </row>
    <row r="1727" spans="1:5" x14ac:dyDescent="0.35">
      <c r="A1727">
        <v>1</v>
      </c>
      <c r="B1727" s="39" t="s">
        <v>2626</v>
      </c>
      <c r="C1727" s="71" t="s">
        <v>1970</v>
      </c>
      <c r="D1727" s="39" t="s">
        <v>370</v>
      </c>
      <c r="E1727" s="87">
        <v>45569</v>
      </c>
    </row>
    <row r="1728" spans="1:5" x14ac:dyDescent="0.35">
      <c r="A1728">
        <v>1</v>
      </c>
      <c r="B1728" s="39" t="s">
        <v>2629</v>
      </c>
      <c r="C1728" s="71" t="s">
        <v>1970</v>
      </c>
      <c r="D1728" s="39" t="s">
        <v>370</v>
      </c>
      <c r="E1728" s="87">
        <v>45569</v>
      </c>
    </row>
    <row r="1729" spans="1:5" x14ac:dyDescent="0.35">
      <c r="A1729">
        <v>1</v>
      </c>
      <c r="B1729" s="39" t="s">
        <v>2636</v>
      </c>
      <c r="C1729" s="71" t="s">
        <v>1968</v>
      </c>
      <c r="D1729" s="39" t="s">
        <v>370</v>
      </c>
      <c r="E1729" s="87">
        <v>45569</v>
      </c>
    </row>
    <row r="1730" spans="1:5" x14ac:dyDescent="0.35">
      <c r="A1730">
        <v>1</v>
      </c>
      <c r="B1730" s="39" t="s">
        <v>2637</v>
      </c>
      <c r="C1730" s="71" t="s">
        <v>1970</v>
      </c>
      <c r="D1730" s="39" t="s">
        <v>373</v>
      </c>
      <c r="E1730" s="87">
        <v>45581</v>
      </c>
    </row>
    <row r="1731" spans="1:5" x14ac:dyDescent="0.35">
      <c r="A1731">
        <v>1</v>
      </c>
      <c r="B1731" s="39" t="s">
        <v>2638</v>
      </c>
      <c r="C1731" s="71" t="s">
        <v>1970</v>
      </c>
      <c r="D1731" s="39" t="s">
        <v>373</v>
      </c>
      <c r="E1731" s="87">
        <v>45581</v>
      </c>
    </row>
    <row r="1732" spans="1:5" x14ac:dyDescent="0.35">
      <c r="A1732">
        <v>1</v>
      </c>
      <c r="B1732" s="39" t="s">
        <v>2635</v>
      </c>
      <c r="C1732" s="71" t="s">
        <v>1975</v>
      </c>
      <c r="D1732" s="39" t="s">
        <v>375</v>
      </c>
      <c r="E1732" s="87">
        <v>45588</v>
      </c>
    </row>
    <row r="1733" spans="1:5" x14ac:dyDescent="0.35">
      <c r="A1733">
        <v>1</v>
      </c>
      <c r="B1733" s="39" t="s">
        <v>2639</v>
      </c>
      <c r="C1733" s="71" t="s">
        <v>1968</v>
      </c>
      <c r="D1733" s="39" t="s">
        <v>375</v>
      </c>
      <c r="E1733" s="87">
        <v>45588</v>
      </c>
    </row>
    <row r="1734" spans="1:5" x14ac:dyDescent="0.35">
      <c r="A1734">
        <v>1</v>
      </c>
      <c r="B1734" s="39" t="s">
        <v>2640</v>
      </c>
      <c r="C1734" s="71" t="s">
        <v>1968</v>
      </c>
      <c r="D1734" s="39" t="s">
        <v>375</v>
      </c>
      <c r="E1734" s="87">
        <v>45588</v>
      </c>
    </row>
    <row r="1735" spans="1:5" x14ac:dyDescent="0.35">
      <c r="A1735">
        <v>1</v>
      </c>
      <c r="B1735" s="39" t="s">
        <v>2641</v>
      </c>
      <c r="C1735" s="71" t="s">
        <v>1968</v>
      </c>
      <c r="D1735" s="39" t="s">
        <v>375</v>
      </c>
      <c r="E1735" s="87">
        <v>45588</v>
      </c>
    </row>
    <row r="1736" spans="1:5" x14ac:dyDescent="0.35">
      <c r="A1736">
        <v>1</v>
      </c>
      <c r="B1736" s="39" t="s">
        <v>2625</v>
      </c>
      <c r="C1736" s="71" t="s">
        <v>1976</v>
      </c>
      <c r="D1736" s="39" t="s">
        <v>378</v>
      </c>
      <c r="E1736" s="87">
        <v>45610</v>
      </c>
    </row>
    <row r="1737" spans="1:5" x14ac:dyDescent="0.35">
      <c r="A1737">
        <v>1</v>
      </c>
      <c r="B1737" s="39" t="s">
        <v>2642</v>
      </c>
      <c r="C1737" s="71" t="s">
        <v>1968</v>
      </c>
      <c r="D1737" s="39" t="s">
        <v>379</v>
      </c>
      <c r="E1737" s="87">
        <v>45624</v>
      </c>
    </row>
    <row r="1738" spans="1:5" x14ac:dyDescent="0.35">
      <c r="A1738">
        <v>1</v>
      </c>
      <c r="B1738" s="39" t="s">
        <v>2619</v>
      </c>
      <c r="C1738" s="71" t="s">
        <v>1976</v>
      </c>
      <c r="D1738" s="39" t="s">
        <v>379</v>
      </c>
      <c r="E1738" s="87">
        <v>45624</v>
      </c>
    </row>
    <row r="1739" spans="1:5" x14ac:dyDescent="0.35">
      <c r="A1739">
        <v>1</v>
      </c>
      <c r="B1739" s="39" t="s">
        <v>2631</v>
      </c>
      <c r="C1739" s="71" t="s">
        <v>1976</v>
      </c>
      <c r="D1739" s="39" t="s">
        <v>379</v>
      </c>
      <c r="E1739" s="87">
        <v>45624</v>
      </c>
    </row>
    <row r="1740" spans="1:5" x14ac:dyDescent="0.35">
      <c r="A1740">
        <v>1</v>
      </c>
      <c r="B1740" s="39" t="s">
        <v>2632</v>
      </c>
      <c r="C1740" s="71" t="s">
        <v>1976</v>
      </c>
      <c r="D1740" s="39" t="s">
        <v>379</v>
      </c>
      <c r="E1740" s="87">
        <v>45624</v>
      </c>
    </row>
    <row r="1741" spans="1:5" x14ac:dyDescent="0.35">
      <c r="A1741">
        <v>1</v>
      </c>
      <c r="B1741" s="39" t="s">
        <v>2633</v>
      </c>
      <c r="C1741" s="71" t="s">
        <v>1976</v>
      </c>
      <c r="D1741" s="39" t="s">
        <v>379</v>
      </c>
      <c r="E1741" s="87">
        <v>45624</v>
      </c>
    </row>
    <row r="1742" spans="1:5" x14ac:dyDescent="0.35">
      <c r="A1742">
        <v>1</v>
      </c>
      <c r="B1742" s="39" t="s">
        <v>2628</v>
      </c>
      <c r="C1742" s="71" t="s">
        <v>1976</v>
      </c>
      <c r="D1742" s="39" t="s">
        <v>381</v>
      </c>
      <c r="E1742" s="87">
        <v>45638</v>
      </c>
    </row>
    <row r="1743" spans="1:5" x14ac:dyDescent="0.35">
      <c r="A1743">
        <v>1</v>
      </c>
      <c r="B1743" s="39" t="s">
        <v>2619</v>
      </c>
      <c r="C1743" s="71" t="s">
        <v>1970</v>
      </c>
      <c r="D1743" s="39" t="s">
        <v>382</v>
      </c>
      <c r="E1743" s="87">
        <v>45643</v>
      </c>
    </row>
    <row r="1744" spans="1:5" x14ac:dyDescent="0.35">
      <c r="A1744">
        <v>1</v>
      </c>
      <c r="B1744" s="39" t="s">
        <v>2631</v>
      </c>
      <c r="C1744" s="71" t="s">
        <v>1970</v>
      </c>
      <c r="D1744" s="39" t="s">
        <v>382</v>
      </c>
      <c r="E1744" s="87">
        <v>45643</v>
      </c>
    </row>
    <row r="1745" spans="1:5" x14ac:dyDescent="0.35">
      <c r="A1745">
        <v>1</v>
      </c>
      <c r="B1745" s="39" t="s">
        <v>2632</v>
      </c>
      <c r="C1745" s="71" t="s">
        <v>1970</v>
      </c>
      <c r="D1745" s="39" t="s">
        <v>382</v>
      </c>
      <c r="E1745" s="87">
        <v>45643</v>
      </c>
    </row>
    <row r="1746" spans="1:5" x14ac:dyDescent="0.35">
      <c r="A1746">
        <v>1</v>
      </c>
      <c r="B1746" s="39" t="s">
        <v>2633</v>
      </c>
      <c r="C1746" s="71" t="s">
        <v>1970</v>
      </c>
      <c r="D1746" s="39" t="s">
        <v>382</v>
      </c>
      <c r="E1746" s="87">
        <v>45643</v>
      </c>
    </row>
    <row r="1747" spans="1:5" x14ac:dyDescent="0.35">
      <c r="A1747">
        <v>1</v>
      </c>
      <c r="B1747" s="39" t="s">
        <v>2616</v>
      </c>
      <c r="C1747" s="71" t="s">
        <v>1976</v>
      </c>
      <c r="D1747" s="39" t="s">
        <v>383</v>
      </c>
      <c r="E1747" s="87">
        <v>45666</v>
      </c>
    </row>
    <row r="1748" spans="1:5" x14ac:dyDescent="0.35">
      <c r="A1748">
        <v>1</v>
      </c>
      <c r="B1748" s="39" t="s">
        <v>2643</v>
      </c>
      <c r="C1748" s="71" t="s">
        <v>1968</v>
      </c>
      <c r="D1748" s="39" t="s">
        <v>384</v>
      </c>
      <c r="E1748" s="87">
        <v>45680</v>
      </c>
    </row>
    <row r="1749" spans="1:5" x14ac:dyDescent="0.35">
      <c r="A1749">
        <v>1</v>
      </c>
      <c r="B1749" s="39" t="s">
        <v>2636</v>
      </c>
      <c r="C1749" s="71" t="s">
        <v>1970</v>
      </c>
      <c r="D1749" s="39" t="s">
        <v>385</v>
      </c>
      <c r="E1749" s="87">
        <v>45708</v>
      </c>
    </row>
    <row r="1750" spans="1:5" x14ac:dyDescent="0.35">
      <c r="A1750">
        <v>1</v>
      </c>
      <c r="B1750" s="39" t="s">
        <v>2644</v>
      </c>
      <c r="C1750" s="71" t="s">
        <v>1968</v>
      </c>
      <c r="D1750" s="39" t="s">
        <v>386</v>
      </c>
      <c r="E1750" s="87">
        <v>45722</v>
      </c>
    </row>
    <row r="1751" spans="1:5" x14ac:dyDescent="0.35">
      <c r="A1751">
        <v>1</v>
      </c>
      <c r="B1751" s="39" t="s">
        <v>2560</v>
      </c>
      <c r="C1751" s="71" t="s">
        <v>1975</v>
      </c>
      <c r="D1751" s="39" t="s">
        <v>386</v>
      </c>
      <c r="E1751" s="87">
        <v>45722</v>
      </c>
    </row>
    <row r="1752" spans="1:5" x14ac:dyDescent="0.35">
      <c r="A1752">
        <v>1</v>
      </c>
      <c r="B1752" s="39" t="s">
        <v>2530</v>
      </c>
      <c r="C1752" s="71" t="s">
        <v>1971</v>
      </c>
      <c r="D1752" s="39" t="s">
        <v>386</v>
      </c>
      <c r="E1752" s="87">
        <v>45722</v>
      </c>
    </row>
    <row r="1753" spans="1:5" x14ac:dyDescent="0.35">
      <c r="A1753">
        <v>1</v>
      </c>
      <c r="B1753" s="39" t="s">
        <v>2639</v>
      </c>
      <c r="C1753" s="71" t="s">
        <v>1975</v>
      </c>
      <c r="D1753" s="39" t="s">
        <v>386</v>
      </c>
      <c r="E1753" s="87">
        <v>45722</v>
      </c>
    </row>
    <row r="1754" spans="1:5" x14ac:dyDescent="0.35">
      <c r="A1754">
        <v>1</v>
      </c>
      <c r="B1754" s="39" t="s">
        <v>2645</v>
      </c>
      <c r="C1754" s="71" t="s">
        <v>1968</v>
      </c>
      <c r="D1754" s="39" t="s">
        <v>386</v>
      </c>
      <c r="E1754" s="87">
        <v>45722</v>
      </c>
    </row>
    <row r="1755" spans="1:5" x14ac:dyDescent="0.35">
      <c r="A1755">
        <v>1</v>
      </c>
      <c r="B1755" s="39" t="s">
        <v>2554</v>
      </c>
      <c r="C1755" s="71" t="s">
        <v>1976</v>
      </c>
      <c r="D1755" s="39" t="s">
        <v>390</v>
      </c>
      <c r="E1755" s="87">
        <v>45736</v>
      </c>
    </row>
    <row r="1756" spans="1:5" x14ac:dyDescent="0.35">
      <c r="A1756">
        <v>1</v>
      </c>
      <c r="B1756" s="39" t="s">
        <v>2640</v>
      </c>
      <c r="C1756" s="71" t="s">
        <v>1976</v>
      </c>
      <c r="D1756" s="39" t="s">
        <v>390</v>
      </c>
      <c r="E1756" s="87">
        <v>45736</v>
      </c>
    </row>
    <row r="1757" spans="1:5" x14ac:dyDescent="0.35">
      <c r="A1757">
        <v>1</v>
      </c>
      <c r="B1757" s="39" t="s">
        <v>2641</v>
      </c>
      <c r="C1757" s="71" t="s">
        <v>1976</v>
      </c>
      <c r="D1757" s="39" t="s">
        <v>390</v>
      </c>
      <c r="E1757" s="87">
        <v>45736</v>
      </c>
    </row>
    <row r="1758" spans="1:5" x14ac:dyDescent="0.35">
      <c r="A1758">
        <v>1</v>
      </c>
      <c r="B1758" s="39" t="s">
        <v>2469</v>
      </c>
      <c r="C1758" s="71" t="s">
        <v>1971</v>
      </c>
      <c r="D1758" s="39" t="s">
        <v>392</v>
      </c>
      <c r="E1758" s="87">
        <v>45750</v>
      </c>
    </row>
    <row r="1759" spans="1:5" x14ac:dyDescent="0.35">
      <c r="A1759">
        <v>1</v>
      </c>
      <c r="B1759" s="39" t="s">
        <v>2418</v>
      </c>
      <c r="C1759" s="71" t="s">
        <v>1971</v>
      </c>
      <c r="D1759" s="39" t="s">
        <v>392</v>
      </c>
      <c r="E1759" s="87">
        <v>45750</v>
      </c>
    </row>
    <row r="1760" spans="1:5" x14ac:dyDescent="0.35">
      <c r="A1760">
        <v>1</v>
      </c>
      <c r="B1760" s="39" t="s">
        <v>486</v>
      </c>
      <c r="C1760" s="71" t="s">
        <v>1973</v>
      </c>
      <c r="D1760" s="39" t="s">
        <v>392</v>
      </c>
      <c r="E1760" s="87">
        <v>45750</v>
      </c>
    </row>
    <row r="1761" spans="1:5" x14ac:dyDescent="0.35">
      <c r="A1761">
        <v>1</v>
      </c>
      <c r="B1761" s="39" t="s">
        <v>395</v>
      </c>
      <c r="C1761" s="71" t="s">
        <v>2646</v>
      </c>
      <c r="D1761" s="39" t="s">
        <v>392</v>
      </c>
      <c r="E1761" s="87">
        <v>45750</v>
      </c>
    </row>
    <row r="1762" spans="1:5" x14ac:dyDescent="0.35">
      <c r="A1762">
        <v>1</v>
      </c>
      <c r="B1762" s="39" t="s">
        <v>501</v>
      </c>
      <c r="C1762" s="71" t="s">
        <v>1969</v>
      </c>
      <c r="D1762" s="39" t="s">
        <v>392</v>
      </c>
      <c r="E1762" s="87">
        <v>45750</v>
      </c>
    </row>
    <row r="1763" spans="1:5" x14ac:dyDescent="0.35">
      <c r="A1763">
        <v>1</v>
      </c>
      <c r="B1763" s="39" t="s">
        <v>2647</v>
      </c>
      <c r="C1763" s="71" t="s">
        <v>1969</v>
      </c>
      <c r="D1763" s="39" t="s">
        <v>392</v>
      </c>
      <c r="E1763" s="87">
        <v>45750</v>
      </c>
    </row>
    <row r="1764" spans="1:5" x14ac:dyDescent="0.35">
      <c r="A1764">
        <v>1</v>
      </c>
      <c r="B1764" s="39" t="s">
        <v>1882</v>
      </c>
      <c r="C1764" s="71" t="s">
        <v>1969</v>
      </c>
      <c r="D1764" s="39" t="s">
        <v>392</v>
      </c>
      <c r="E1764" s="87">
        <v>45750</v>
      </c>
    </row>
    <row r="1765" spans="1:5" x14ac:dyDescent="0.35">
      <c r="A1765">
        <v>1</v>
      </c>
      <c r="B1765" s="39" t="s">
        <v>1884</v>
      </c>
      <c r="C1765" s="71" t="s">
        <v>1969</v>
      </c>
      <c r="D1765" s="39" t="s">
        <v>392</v>
      </c>
      <c r="E1765" s="87">
        <v>45750</v>
      </c>
    </row>
    <row r="1766" spans="1:5" x14ac:dyDescent="0.35">
      <c r="A1766">
        <v>1</v>
      </c>
      <c r="B1766" s="39" t="s">
        <v>1887</v>
      </c>
      <c r="C1766" s="71" t="s">
        <v>1969</v>
      </c>
      <c r="D1766" s="39" t="s">
        <v>392</v>
      </c>
      <c r="E1766" s="87">
        <v>45750</v>
      </c>
    </row>
    <row r="1767" spans="1:5" x14ac:dyDescent="0.35">
      <c r="A1767">
        <v>1</v>
      </c>
      <c r="B1767" s="39" t="s">
        <v>1909</v>
      </c>
      <c r="C1767" s="71" t="s">
        <v>1969</v>
      </c>
      <c r="D1767" s="39" t="s">
        <v>392</v>
      </c>
      <c r="E1767" s="87">
        <v>45750</v>
      </c>
    </row>
    <row r="1768" spans="1:5" x14ac:dyDescent="0.35">
      <c r="A1768">
        <v>1</v>
      </c>
      <c r="B1768" s="39" t="s">
        <v>507</v>
      </c>
      <c r="C1768" s="71" t="s">
        <v>1969</v>
      </c>
      <c r="D1768" s="39" t="s">
        <v>392</v>
      </c>
      <c r="E1768" s="87">
        <v>45750</v>
      </c>
    </row>
    <row r="1769" spans="1:5" x14ac:dyDescent="0.35">
      <c r="A1769">
        <v>1</v>
      </c>
      <c r="B1769" s="39" t="s">
        <v>512</v>
      </c>
      <c r="C1769" s="71" t="s">
        <v>1969</v>
      </c>
      <c r="D1769" s="39" t="s">
        <v>392</v>
      </c>
      <c r="E1769" s="87">
        <v>45750</v>
      </c>
    </row>
    <row r="1770" spans="1:5" x14ac:dyDescent="0.35">
      <c r="A1770">
        <v>1</v>
      </c>
      <c r="B1770" s="39" t="s">
        <v>2648</v>
      </c>
      <c r="C1770" s="71" t="s">
        <v>1969</v>
      </c>
      <c r="D1770" s="39" t="s">
        <v>392</v>
      </c>
      <c r="E1770" s="87">
        <v>45750</v>
      </c>
    </row>
    <row r="1771" spans="1:5" x14ac:dyDescent="0.35">
      <c r="A1771">
        <v>1</v>
      </c>
      <c r="B1771" s="39" t="s">
        <v>1927</v>
      </c>
      <c r="C1771" s="71" t="s">
        <v>1969</v>
      </c>
      <c r="D1771" s="39" t="s">
        <v>392</v>
      </c>
      <c r="E1771" s="87">
        <v>45750</v>
      </c>
    </row>
    <row r="1772" spans="1:5" x14ac:dyDescent="0.35">
      <c r="A1772">
        <v>1</v>
      </c>
      <c r="B1772" s="39" t="s">
        <v>1895</v>
      </c>
      <c r="C1772" s="71" t="s">
        <v>1969</v>
      </c>
      <c r="D1772" s="39" t="s">
        <v>392</v>
      </c>
      <c r="E1772" s="87">
        <v>45750</v>
      </c>
    </row>
    <row r="1773" spans="1:5" x14ac:dyDescent="0.35">
      <c r="A1773">
        <v>1</v>
      </c>
      <c r="B1773" s="39" t="s">
        <v>516</v>
      </c>
      <c r="C1773" s="71" t="s">
        <v>1969</v>
      </c>
      <c r="D1773" s="39" t="s">
        <v>392</v>
      </c>
      <c r="E1773" s="87">
        <v>45750</v>
      </c>
    </row>
    <row r="1774" spans="1:5" x14ac:dyDescent="0.35">
      <c r="A1774">
        <v>1</v>
      </c>
      <c r="B1774" s="39" t="s">
        <v>2649</v>
      </c>
      <c r="C1774" s="71" t="s">
        <v>1969</v>
      </c>
      <c r="D1774" s="39" t="s">
        <v>392</v>
      </c>
      <c r="E1774" s="87">
        <v>45750</v>
      </c>
    </row>
    <row r="1775" spans="1:5" x14ac:dyDescent="0.35">
      <c r="A1775">
        <v>1</v>
      </c>
      <c r="B1775" s="39" t="s">
        <v>1897</v>
      </c>
      <c r="C1775" s="71" t="s">
        <v>1969</v>
      </c>
      <c r="D1775" s="39" t="s">
        <v>392</v>
      </c>
      <c r="E1775" s="87">
        <v>45750</v>
      </c>
    </row>
    <row r="1776" spans="1:5" x14ac:dyDescent="0.35">
      <c r="A1776">
        <v>1</v>
      </c>
      <c r="B1776" s="39" t="s">
        <v>2650</v>
      </c>
      <c r="C1776" s="71" t="s">
        <v>1969</v>
      </c>
      <c r="D1776" s="39" t="s">
        <v>392</v>
      </c>
      <c r="E1776" s="87">
        <v>45750</v>
      </c>
    </row>
    <row r="1777" spans="1:5" x14ac:dyDescent="0.35">
      <c r="A1777">
        <v>1</v>
      </c>
      <c r="B1777" s="39" t="s">
        <v>1903</v>
      </c>
      <c r="C1777" s="71" t="s">
        <v>1969</v>
      </c>
      <c r="D1777" s="39" t="s">
        <v>392</v>
      </c>
      <c r="E1777" s="87">
        <v>45750</v>
      </c>
    </row>
    <row r="1778" spans="1:5" x14ac:dyDescent="0.35">
      <c r="A1778">
        <v>1</v>
      </c>
      <c r="B1778" s="39" t="s">
        <v>2464</v>
      </c>
      <c r="C1778" s="71" t="s">
        <v>1971</v>
      </c>
      <c r="D1778" s="39" t="s">
        <v>392</v>
      </c>
      <c r="E1778" s="87">
        <v>45750</v>
      </c>
    </row>
    <row r="1779" spans="1:5" x14ac:dyDescent="0.35">
      <c r="A1779">
        <v>1</v>
      </c>
      <c r="B1779" s="39" t="s">
        <v>2388</v>
      </c>
      <c r="C1779" s="71" t="s">
        <v>1971</v>
      </c>
      <c r="D1779" s="39" t="s">
        <v>392</v>
      </c>
      <c r="E1779" s="87">
        <v>45750</v>
      </c>
    </row>
    <row r="1780" spans="1:5" x14ac:dyDescent="0.35">
      <c r="A1780">
        <v>1</v>
      </c>
      <c r="B1780" s="39" t="s">
        <v>2445</v>
      </c>
      <c r="C1780" s="71" t="s">
        <v>1971</v>
      </c>
      <c r="D1780" s="39" t="s">
        <v>392</v>
      </c>
      <c r="E1780" s="87">
        <v>45750</v>
      </c>
    </row>
    <row r="1781" spans="1:5" x14ac:dyDescent="0.35">
      <c r="A1781">
        <v>1</v>
      </c>
      <c r="B1781" s="39" t="s">
        <v>497</v>
      </c>
      <c r="C1781" s="71" t="s">
        <v>1969</v>
      </c>
      <c r="D1781" s="39" t="s">
        <v>392</v>
      </c>
      <c r="E1781" s="87">
        <v>45750</v>
      </c>
    </row>
    <row r="1782" spans="1:5" x14ac:dyDescent="0.35">
      <c r="A1782">
        <v>1</v>
      </c>
      <c r="B1782" s="39" t="s">
        <v>500</v>
      </c>
      <c r="C1782" s="71" t="s">
        <v>1969</v>
      </c>
      <c r="D1782" s="39" t="s">
        <v>392</v>
      </c>
      <c r="E1782" s="87">
        <v>45750</v>
      </c>
    </row>
    <row r="1783" spans="1:5" x14ac:dyDescent="0.35">
      <c r="A1783">
        <v>1</v>
      </c>
      <c r="B1783" s="39" t="s">
        <v>503</v>
      </c>
      <c r="C1783" s="71" t="s">
        <v>1969</v>
      </c>
      <c r="D1783" s="39" t="s">
        <v>392</v>
      </c>
      <c r="E1783" s="87">
        <v>45750</v>
      </c>
    </row>
    <row r="1784" spans="1:5" x14ac:dyDescent="0.35">
      <c r="A1784">
        <v>1</v>
      </c>
      <c r="B1784" s="39" t="s">
        <v>2651</v>
      </c>
      <c r="C1784" s="71" t="s">
        <v>1968</v>
      </c>
      <c r="D1784" s="39" t="s">
        <v>397</v>
      </c>
      <c r="E1784" s="87">
        <v>45764</v>
      </c>
    </row>
    <row r="1785" spans="1:5" x14ac:dyDescent="0.35">
      <c r="A1785">
        <v>1</v>
      </c>
      <c r="B1785" s="39" t="s">
        <v>2652</v>
      </c>
      <c r="C1785" s="71" t="s">
        <v>1968</v>
      </c>
      <c r="D1785" s="39" t="s">
        <v>398</v>
      </c>
      <c r="E1785" s="87">
        <v>45792</v>
      </c>
    </row>
    <row r="1786" spans="1:5" x14ac:dyDescent="0.35">
      <c r="A1786">
        <v>1</v>
      </c>
      <c r="B1786" s="39" t="s">
        <v>2469</v>
      </c>
      <c r="C1786" s="48" t="s">
        <v>1974</v>
      </c>
      <c r="D1786" s="39" t="s">
        <v>398</v>
      </c>
      <c r="E1786" s="87">
        <v>45792</v>
      </c>
    </row>
    <row r="1787" spans="1:5" x14ac:dyDescent="0.35">
      <c r="A1787">
        <v>1</v>
      </c>
      <c r="B1787" s="39" t="s">
        <v>2653</v>
      </c>
      <c r="C1787" s="71" t="s">
        <v>1968</v>
      </c>
      <c r="D1787" s="39" t="s">
        <v>400</v>
      </c>
      <c r="E1787" s="87">
        <v>45806</v>
      </c>
    </row>
    <row r="1788" spans="1:5" x14ac:dyDescent="0.35">
      <c r="A1788">
        <v>1</v>
      </c>
      <c r="B1788" s="39" t="s">
        <v>2654</v>
      </c>
      <c r="C1788" s="71" t="s">
        <v>1968</v>
      </c>
      <c r="D1788" s="39" t="s">
        <v>400</v>
      </c>
      <c r="E1788" s="87">
        <v>45806</v>
      </c>
    </row>
    <row r="1789" spans="1:5" x14ac:dyDescent="0.35">
      <c r="A1789">
        <v>1</v>
      </c>
      <c r="B1789" s="39" t="s">
        <v>2616</v>
      </c>
      <c r="C1789" s="71" t="s">
        <v>1970</v>
      </c>
      <c r="D1789" s="39" t="s">
        <v>402</v>
      </c>
      <c r="E1789" s="87">
        <v>45813</v>
      </c>
    </row>
    <row r="1790" spans="1:5" x14ac:dyDescent="0.35">
      <c r="A1790">
        <v>1</v>
      </c>
      <c r="B1790" s="39" t="s">
        <v>2469</v>
      </c>
      <c r="C1790" s="71" t="s">
        <v>1970</v>
      </c>
      <c r="D1790" s="39" t="s">
        <v>402</v>
      </c>
      <c r="E1790" s="87">
        <v>45813</v>
      </c>
    </row>
    <row r="1791" spans="1:5" x14ac:dyDescent="0.35">
      <c r="A1791">
        <v>1</v>
      </c>
      <c r="B1791" s="39" t="s">
        <v>2554</v>
      </c>
      <c r="C1791" s="71" t="s">
        <v>1970</v>
      </c>
      <c r="D1791" s="39" t="s">
        <v>402</v>
      </c>
      <c r="E1791" s="87">
        <v>45813</v>
      </c>
    </row>
    <row r="1792" spans="1:5" x14ac:dyDescent="0.35">
      <c r="A1792">
        <v>1</v>
      </c>
      <c r="B1792" s="39" t="s">
        <v>2641</v>
      </c>
      <c r="C1792" s="71" t="s">
        <v>1970</v>
      </c>
      <c r="D1792" s="39" t="s">
        <v>402</v>
      </c>
      <c r="E1792" s="87">
        <v>45813</v>
      </c>
    </row>
    <row r="1793" spans="1:5" x14ac:dyDescent="0.35">
      <c r="A1793">
        <v>1</v>
      </c>
      <c r="B1793" s="39" t="s">
        <v>2449</v>
      </c>
      <c r="C1793" s="71" t="s">
        <v>1971</v>
      </c>
      <c r="D1793" s="39" t="s">
        <v>402</v>
      </c>
      <c r="E1793" s="87">
        <v>45813</v>
      </c>
    </row>
    <row r="1794" spans="1:5" x14ac:dyDescent="0.35">
      <c r="A1794">
        <v>1</v>
      </c>
      <c r="B1794" s="39" t="s">
        <v>2450</v>
      </c>
      <c r="C1794" s="71" t="s">
        <v>1971</v>
      </c>
      <c r="D1794" s="39" t="s">
        <v>402</v>
      </c>
      <c r="E1794" s="87">
        <v>45813</v>
      </c>
    </row>
    <row r="1795" spans="1:5" x14ac:dyDescent="0.35">
      <c r="A1795">
        <v>1</v>
      </c>
      <c r="B1795" s="39" t="s">
        <v>2446</v>
      </c>
      <c r="C1795" s="71" t="s">
        <v>1971</v>
      </c>
      <c r="D1795" s="39" t="s">
        <v>402</v>
      </c>
      <c r="E1795" s="87">
        <v>45813</v>
      </c>
    </row>
    <row r="1796" spans="1:5" x14ac:dyDescent="0.35">
      <c r="A1796">
        <v>1</v>
      </c>
      <c r="B1796" s="39" t="s">
        <v>2267</v>
      </c>
      <c r="C1796" s="48" t="s">
        <v>1974</v>
      </c>
      <c r="D1796" s="39" t="s">
        <v>405</v>
      </c>
      <c r="E1796" s="87">
        <v>45820</v>
      </c>
    </row>
    <row r="1797" spans="1:5" x14ac:dyDescent="0.35">
      <c r="A1797">
        <v>1</v>
      </c>
      <c r="B1797" s="39" t="s">
        <v>409</v>
      </c>
      <c r="C1797" s="40" t="s">
        <v>2646</v>
      </c>
      <c r="D1797" s="39" t="s">
        <v>407</v>
      </c>
      <c r="E1797" s="87">
        <v>45825</v>
      </c>
    </row>
    <row r="1798" spans="1:5" x14ac:dyDescent="0.35">
      <c r="A1798">
        <v>1</v>
      </c>
      <c r="B1798" s="39" t="s">
        <v>409</v>
      </c>
      <c r="C1798" s="71" t="s">
        <v>1972</v>
      </c>
      <c r="D1798" s="39" t="s">
        <v>407</v>
      </c>
      <c r="E1798" s="87">
        <v>45825</v>
      </c>
    </row>
    <row r="1799" spans="1:5" x14ac:dyDescent="0.35">
      <c r="A1799">
        <v>1</v>
      </c>
      <c r="B1799" s="39" t="s">
        <v>395</v>
      </c>
      <c r="C1799" s="71" t="s">
        <v>1972</v>
      </c>
      <c r="D1799" s="39" t="s">
        <v>407</v>
      </c>
      <c r="E1799" s="87">
        <v>45825</v>
      </c>
    </row>
    <row r="1800" spans="1:5" x14ac:dyDescent="0.35">
      <c r="A1800">
        <v>1</v>
      </c>
      <c r="B1800" s="39" t="s">
        <v>1882</v>
      </c>
      <c r="C1800" s="71" t="s">
        <v>1972</v>
      </c>
      <c r="D1800" s="39" t="s">
        <v>407</v>
      </c>
      <c r="E1800" s="87">
        <v>45825</v>
      </c>
    </row>
    <row r="1801" spans="1:5" x14ac:dyDescent="0.35">
      <c r="A1801">
        <v>1</v>
      </c>
      <c r="B1801" s="39" t="s">
        <v>1884</v>
      </c>
      <c r="C1801" s="71" t="s">
        <v>1972</v>
      </c>
      <c r="D1801" s="39" t="s">
        <v>407</v>
      </c>
      <c r="E1801" s="87">
        <v>45825</v>
      </c>
    </row>
    <row r="1802" spans="1:5" x14ac:dyDescent="0.35">
      <c r="A1802">
        <v>1</v>
      </c>
      <c r="B1802" s="39" t="s">
        <v>1887</v>
      </c>
      <c r="C1802" s="71" t="s">
        <v>1972</v>
      </c>
      <c r="D1802" s="39" t="s">
        <v>407</v>
      </c>
      <c r="E1802" s="87">
        <v>45825</v>
      </c>
    </row>
    <row r="1803" spans="1:5" x14ac:dyDescent="0.35">
      <c r="A1803">
        <v>1</v>
      </c>
      <c r="B1803" s="39" t="s">
        <v>2645</v>
      </c>
      <c r="C1803" s="71" t="s">
        <v>1976</v>
      </c>
      <c r="D1803" s="39" t="s">
        <v>411</v>
      </c>
      <c r="E1803" s="87">
        <v>45834</v>
      </c>
    </row>
    <row r="1804" spans="1:5" x14ac:dyDescent="0.35">
      <c r="A1804">
        <v>1</v>
      </c>
      <c r="B1804" s="39" t="s">
        <v>2639</v>
      </c>
      <c r="C1804" s="71" t="s">
        <v>1971</v>
      </c>
      <c r="D1804" s="39" t="s">
        <v>411</v>
      </c>
      <c r="E1804" s="87">
        <v>45834</v>
      </c>
    </row>
    <row r="1805" spans="1:5" x14ac:dyDescent="0.35">
      <c r="A1805">
        <v>1</v>
      </c>
      <c r="B1805" s="39" t="s">
        <v>2642</v>
      </c>
      <c r="C1805" s="71" t="s">
        <v>1976</v>
      </c>
      <c r="D1805" s="39" t="s">
        <v>411</v>
      </c>
      <c r="E1805" s="87">
        <v>45834</v>
      </c>
    </row>
    <row r="1806" spans="1:5" x14ac:dyDescent="0.35">
      <c r="A1806">
        <v>1</v>
      </c>
      <c r="B1806" s="39" t="s">
        <v>2573</v>
      </c>
      <c r="C1806" s="71" t="s">
        <v>1971</v>
      </c>
      <c r="D1806" s="39" t="s">
        <v>411</v>
      </c>
      <c r="E1806" s="87">
        <v>45834</v>
      </c>
    </row>
    <row r="1807" spans="1:5" x14ac:dyDescent="0.35">
      <c r="A1807">
        <v>1</v>
      </c>
      <c r="B1807" s="178" t="s">
        <v>1895</v>
      </c>
      <c r="C1807" s="71" t="s">
        <v>1973</v>
      </c>
      <c r="D1807" s="39" t="s">
        <v>411</v>
      </c>
      <c r="E1807" s="87">
        <v>45834</v>
      </c>
    </row>
    <row r="1808" spans="1:5" x14ac:dyDescent="0.35">
      <c r="A1808">
        <v>1</v>
      </c>
      <c r="B1808" s="178" t="s">
        <v>1897</v>
      </c>
      <c r="C1808" s="71" t="s">
        <v>1973</v>
      </c>
      <c r="D1808" s="39" t="s">
        <v>411</v>
      </c>
      <c r="E1808" s="87">
        <v>45834</v>
      </c>
    </row>
    <row r="1809" spans="1:5" x14ac:dyDescent="0.35">
      <c r="A1809">
        <v>1</v>
      </c>
      <c r="B1809" s="39" t="s">
        <v>1900</v>
      </c>
      <c r="C1809" s="71" t="s">
        <v>1973</v>
      </c>
      <c r="D1809" s="39" t="s">
        <v>411</v>
      </c>
      <c r="E1809" s="87">
        <v>45834</v>
      </c>
    </row>
    <row r="1810" spans="1:5" x14ac:dyDescent="0.35">
      <c r="A1810">
        <v>1</v>
      </c>
      <c r="B1810" s="39" t="s">
        <v>1903</v>
      </c>
      <c r="C1810" s="71" t="s">
        <v>1973</v>
      </c>
      <c r="D1810" s="39" t="s">
        <v>411</v>
      </c>
      <c r="E1810" s="87">
        <v>45834</v>
      </c>
    </row>
    <row r="1811" spans="1:5" x14ac:dyDescent="0.35">
      <c r="A1811">
        <v>1</v>
      </c>
      <c r="B1811" s="39" t="s">
        <v>2280</v>
      </c>
      <c r="C1811" s="71" t="s">
        <v>1971</v>
      </c>
      <c r="D1811" s="39" t="s">
        <v>415</v>
      </c>
      <c r="E1811" s="87">
        <v>45848</v>
      </c>
    </row>
    <row r="1812" spans="1:5" x14ac:dyDescent="0.35">
      <c r="A1812">
        <v>1</v>
      </c>
      <c r="B1812" s="39" t="s">
        <v>2655</v>
      </c>
      <c r="C1812" s="71" t="s">
        <v>1968</v>
      </c>
      <c r="D1812" s="39" t="s">
        <v>415</v>
      </c>
      <c r="E1812" s="87">
        <v>45848</v>
      </c>
    </row>
    <row r="1813" spans="1:5" x14ac:dyDescent="0.35">
      <c r="A1813">
        <v>1</v>
      </c>
      <c r="B1813" s="39" t="s">
        <v>2656</v>
      </c>
      <c r="C1813" s="71" t="s">
        <v>1968</v>
      </c>
      <c r="D1813" s="39" t="s">
        <v>415</v>
      </c>
      <c r="E1813" s="87">
        <v>45848</v>
      </c>
    </row>
    <row r="1814" spans="1:5" x14ac:dyDescent="0.35">
      <c r="A1814">
        <v>1</v>
      </c>
      <c r="B1814" s="39" t="s">
        <v>1909</v>
      </c>
      <c r="C1814" s="71" t="s">
        <v>1972</v>
      </c>
      <c r="D1814" s="39" t="s">
        <v>415</v>
      </c>
      <c r="E1814" s="87">
        <v>45848</v>
      </c>
    </row>
    <row r="1815" spans="1:5" x14ac:dyDescent="0.35">
      <c r="A1815">
        <v>1</v>
      </c>
      <c r="B1815" s="39" t="s">
        <v>2645</v>
      </c>
      <c r="C1815" s="71" t="s">
        <v>1976</v>
      </c>
      <c r="D1815" s="39" t="s">
        <v>419</v>
      </c>
      <c r="E1815" s="87">
        <v>45862</v>
      </c>
    </row>
    <row r="1816" spans="1:5" x14ac:dyDescent="0.35">
      <c r="A1816">
        <v>1</v>
      </c>
      <c r="B1816" s="39" t="s">
        <v>2645</v>
      </c>
      <c r="C1816" s="71" t="s">
        <v>1970</v>
      </c>
      <c r="D1816" s="39" t="s">
        <v>420</v>
      </c>
      <c r="E1816" s="87">
        <v>45876</v>
      </c>
    </row>
    <row r="1817" spans="1:5" x14ac:dyDescent="0.35">
      <c r="A1817">
        <v>1</v>
      </c>
      <c r="B1817" s="39" t="s">
        <v>2657</v>
      </c>
      <c r="C1817" s="71" t="s">
        <v>1972</v>
      </c>
      <c r="D1817" s="39" t="s">
        <v>420</v>
      </c>
      <c r="E1817" s="87">
        <v>45876</v>
      </c>
    </row>
    <row r="1818" spans="1:5" x14ac:dyDescent="0.35">
      <c r="A1818">
        <v>1</v>
      </c>
      <c r="B1818" s="39" t="s">
        <v>1918</v>
      </c>
      <c r="C1818" s="71" t="s">
        <v>1972</v>
      </c>
      <c r="D1818" s="39" t="s">
        <v>420</v>
      </c>
      <c r="E1818" s="87">
        <v>45876</v>
      </c>
    </row>
    <row r="1819" spans="1:5" x14ac:dyDescent="0.35">
      <c r="A1819">
        <v>1</v>
      </c>
      <c r="B1819" s="39" t="s">
        <v>1922</v>
      </c>
      <c r="C1819" s="71" t="s">
        <v>1972</v>
      </c>
      <c r="D1819" s="39" t="s">
        <v>420</v>
      </c>
      <c r="E1819" s="87">
        <v>45876</v>
      </c>
    </row>
    <row r="1820" spans="1:5" x14ac:dyDescent="0.35">
      <c r="A1820">
        <v>1</v>
      </c>
      <c r="B1820" s="39" t="s">
        <v>1920</v>
      </c>
      <c r="C1820" s="71" t="s">
        <v>1972</v>
      </c>
      <c r="D1820" s="39" t="s">
        <v>420</v>
      </c>
      <c r="E1820" s="87">
        <v>45876</v>
      </c>
    </row>
    <row r="1821" spans="1:5" x14ac:dyDescent="0.35">
      <c r="A1821">
        <v>1</v>
      </c>
      <c r="B1821" s="39" t="s">
        <v>1927</v>
      </c>
      <c r="C1821" s="71" t="s">
        <v>1973</v>
      </c>
      <c r="D1821" s="39" t="s">
        <v>420</v>
      </c>
      <c r="E1821" s="87">
        <v>45876</v>
      </c>
    </row>
    <row r="1822" spans="1:5" x14ac:dyDescent="0.35">
      <c r="A1822">
        <v>1</v>
      </c>
      <c r="B1822" s="39" t="s">
        <v>322</v>
      </c>
      <c r="C1822" s="71" t="s">
        <v>1973</v>
      </c>
      <c r="D1822" s="39" t="s">
        <v>420</v>
      </c>
      <c r="E1822" s="87">
        <v>45876</v>
      </c>
    </row>
    <row r="1823" spans="1:5" x14ac:dyDescent="0.35">
      <c r="A1823">
        <v>1</v>
      </c>
      <c r="B1823" s="39" t="s">
        <v>2632</v>
      </c>
      <c r="C1823" s="71" t="s">
        <v>1974</v>
      </c>
      <c r="D1823" s="39" t="s">
        <v>420</v>
      </c>
      <c r="E1823" s="87">
        <v>45876</v>
      </c>
    </row>
    <row r="1824" spans="1:5" x14ac:dyDescent="0.35">
      <c r="A1824">
        <v>1</v>
      </c>
      <c r="B1824" s="39" t="s">
        <v>2632</v>
      </c>
      <c r="C1824" s="71" t="s">
        <v>1976</v>
      </c>
      <c r="D1824" s="39" t="s">
        <v>420</v>
      </c>
      <c r="E1824" s="87">
        <v>45876</v>
      </c>
    </row>
    <row r="1825" spans="1:5" x14ac:dyDescent="0.35">
      <c r="A1825">
        <v>1</v>
      </c>
      <c r="B1825" s="39" t="s">
        <v>2655</v>
      </c>
      <c r="C1825" s="71" t="s">
        <v>1976</v>
      </c>
      <c r="D1825" s="39" t="s">
        <v>420</v>
      </c>
      <c r="E1825" s="87">
        <v>45876</v>
      </c>
    </row>
    <row r="1826" spans="1:5" x14ac:dyDescent="0.35">
      <c r="A1826">
        <v>1</v>
      </c>
      <c r="B1826" s="39" t="s">
        <v>2658</v>
      </c>
      <c r="C1826" s="71" t="s">
        <v>1968</v>
      </c>
      <c r="D1826" s="39" t="s">
        <v>420</v>
      </c>
      <c r="E1826" s="87">
        <v>45876</v>
      </c>
    </row>
    <row r="1827" spans="1:5" x14ac:dyDescent="0.35">
      <c r="A1827">
        <v>1</v>
      </c>
      <c r="B1827" s="39" t="s">
        <v>2364</v>
      </c>
      <c r="C1827" s="71" t="s">
        <v>1970</v>
      </c>
      <c r="D1827" s="39" t="s">
        <v>420</v>
      </c>
      <c r="E1827" s="87">
        <v>45876</v>
      </c>
    </row>
    <row r="1828" spans="1:5" x14ac:dyDescent="0.35">
      <c r="A1828">
        <v>1</v>
      </c>
      <c r="B1828" s="39" t="s">
        <v>1934</v>
      </c>
      <c r="C1828" s="71" t="s">
        <v>1973</v>
      </c>
      <c r="D1828" s="39" t="s">
        <v>420</v>
      </c>
      <c r="E1828" s="87">
        <v>45876</v>
      </c>
    </row>
    <row r="1829" spans="1:5" x14ac:dyDescent="0.35">
      <c r="A1829">
        <v>1</v>
      </c>
      <c r="B1829" s="39" t="s">
        <v>1937</v>
      </c>
      <c r="C1829" s="71" t="s">
        <v>1973</v>
      </c>
      <c r="D1829" s="39" t="s">
        <v>423</v>
      </c>
      <c r="E1829" s="87">
        <v>45890</v>
      </c>
    </row>
    <row r="1830" spans="1:5" x14ac:dyDescent="0.35">
      <c r="A1830">
        <v>1</v>
      </c>
      <c r="B1830" s="39" t="s">
        <v>2651</v>
      </c>
      <c r="C1830" s="71" t="s">
        <v>1971</v>
      </c>
      <c r="D1830" s="39" t="s">
        <v>423</v>
      </c>
      <c r="E1830" s="87">
        <v>45890</v>
      </c>
    </row>
    <row r="1831" spans="1:5" x14ac:dyDescent="0.35">
      <c r="A1831">
        <v>1</v>
      </c>
      <c r="B1831" s="39" t="s">
        <v>2505</v>
      </c>
      <c r="C1831" s="71" t="s">
        <v>1971</v>
      </c>
      <c r="D1831" s="39" t="s">
        <v>423</v>
      </c>
      <c r="E1831" s="87">
        <v>45890</v>
      </c>
    </row>
    <row r="1832" spans="1:5" x14ac:dyDescent="0.35">
      <c r="A1832">
        <v>1</v>
      </c>
      <c r="B1832" s="39" t="s">
        <v>2578</v>
      </c>
      <c r="C1832" s="71" t="s">
        <v>1971</v>
      </c>
      <c r="D1832" s="39" t="s">
        <v>423</v>
      </c>
      <c r="E1832" s="87">
        <v>45890</v>
      </c>
    </row>
    <row r="1833" spans="1:5" x14ac:dyDescent="0.35">
      <c r="A1833">
        <v>1</v>
      </c>
      <c r="B1833" s="39" t="s">
        <v>2642</v>
      </c>
      <c r="C1833" s="71" t="s">
        <v>1976</v>
      </c>
      <c r="D1833" s="39" t="s">
        <v>426</v>
      </c>
      <c r="E1833" s="87">
        <v>45904</v>
      </c>
    </row>
    <row r="1834" spans="1:5" x14ac:dyDescent="0.35">
      <c r="A1834">
        <v>1</v>
      </c>
      <c r="B1834" s="39" t="s">
        <v>2659</v>
      </c>
      <c r="C1834" s="71" t="s">
        <v>1968</v>
      </c>
      <c r="D1834" s="39" t="s">
        <v>427</v>
      </c>
      <c r="E1834" s="87">
        <v>45918</v>
      </c>
    </row>
    <row r="1835" spans="1:5" x14ac:dyDescent="0.35">
      <c r="A1835">
        <v>1</v>
      </c>
      <c r="B1835" s="39" t="s">
        <v>2561</v>
      </c>
      <c r="C1835" s="71" t="s">
        <v>1970</v>
      </c>
      <c r="D1835" s="39" t="s">
        <v>427</v>
      </c>
      <c r="E1835" s="87">
        <v>45918</v>
      </c>
    </row>
    <row r="1836" spans="1:5" x14ac:dyDescent="0.35">
      <c r="A1836">
        <v>1</v>
      </c>
      <c r="B1836" s="39" t="s">
        <v>2635</v>
      </c>
      <c r="C1836" s="71" t="s">
        <v>1976</v>
      </c>
      <c r="D1836" s="39" t="s">
        <v>427</v>
      </c>
      <c r="E1836" s="87">
        <v>45918</v>
      </c>
    </row>
    <row r="1837" spans="1:5" x14ac:dyDescent="0.35">
      <c r="A1837">
        <v>1</v>
      </c>
      <c r="B1837" s="39" t="s">
        <v>1952</v>
      </c>
      <c r="C1837" s="71" t="s">
        <v>1973</v>
      </c>
      <c r="D1837" s="39" t="s">
        <v>427</v>
      </c>
      <c r="E1837" s="87">
        <v>45918</v>
      </c>
    </row>
    <row r="1838" spans="1:5" x14ac:dyDescent="0.35">
      <c r="A1838">
        <v>1</v>
      </c>
      <c r="B1838" s="39" t="s">
        <v>2660</v>
      </c>
      <c r="C1838" s="71" t="s">
        <v>1968</v>
      </c>
      <c r="D1838" s="39" t="s">
        <v>427</v>
      </c>
      <c r="E1838" s="87">
        <v>45918</v>
      </c>
    </row>
    <row r="1839" spans="1:5" x14ac:dyDescent="0.35">
      <c r="A1839">
        <v>1</v>
      </c>
      <c r="B1839" s="39" t="s">
        <v>2661</v>
      </c>
      <c r="C1839" s="71" t="s">
        <v>1968</v>
      </c>
      <c r="D1839" s="39" t="s">
        <v>427</v>
      </c>
      <c r="E1839" s="87">
        <v>45918</v>
      </c>
    </row>
    <row r="1840" spans="1:5" x14ac:dyDescent="0.35">
      <c r="A1840">
        <v>1</v>
      </c>
      <c r="B1840" s="39" t="s">
        <v>2632</v>
      </c>
      <c r="C1840" s="71" t="s">
        <v>1970</v>
      </c>
      <c r="D1840" s="39" t="s">
        <v>427</v>
      </c>
      <c r="E1840" s="87">
        <v>45918</v>
      </c>
    </row>
    <row r="1841" spans="1:5" x14ac:dyDescent="0.35">
      <c r="A1841">
        <v>1</v>
      </c>
      <c r="B1841" s="39" t="s">
        <v>2640</v>
      </c>
      <c r="C1841" s="71" t="s">
        <v>1970</v>
      </c>
      <c r="D1841" s="39" t="s">
        <v>427</v>
      </c>
      <c r="E1841" s="87">
        <v>45918</v>
      </c>
    </row>
    <row r="1842" spans="1:5" x14ac:dyDescent="0.35">
      <c r="A1842">
        <v>1</v>
      </c>
      <c r="B1842" s="39" t="s">
        <v>2632</v>
      </c>
      <c r="C1842" s="71" t="s">
        <v>1974</v>
      </c>
      <c r="D1842" s="39" t="s">
        <v>430</v>
      </c>
      <c r="E1842" s="87">
        <v>45939</v>
      </c>
    </row>
    <row r="1843" spans="1:5" x14ac:dyDescent="0.35">
      <c r="A1843">
        <v>1</v>
      </c>
      <c r="B1843" s="39" t="s">
        <v>1959</v>
      </c>
      <c r="C1843" s="71" t="s">
        <v>1972</v>
      </c>
      <c r="D1843" s="39" t="s">
        <v>430</v>
      </c>
      <c r="E1843" s="87">
        <v>45939</v>
      </c>
    </row>
    <row r="1844" spans="1:5" x14ac:dyDescent="0.35">
      <c r="A1844">
        <v>1</v>
      </c>
      <c r="B1844" s="39" t="s">
        <v>1962</v>
      </c>
      <c r="C1844" s="71" t="s">
        <v>1972</v>
      </c>
      <c r="D1844" s="39" t="s">
        <v>430</v>
      </c>
      <c r="E1844" s="87">
        <v>45939</v>
      </c>
    </row>
    <row r="1845" spans="1:5" x14ac:dyDescent="0.35">
      <c r="A1845">
        <v>1</v>
      </c>
      <c r="B1845" s="39" t="s">
        <v>2659</v>
      </c>
      <c r="C1845" s="48" t="s">
        <v>1970</v>
      </c>
      <c r="D1845" s="39" t="s">
        <v>432</v>
      </c>
      <c r="E1845" s="87">
        <v>45960</v>
      </c>
    </row>
    <row r="1846" spans="1:5" x14ac:dyDescent="0.35">
      <c r="A1846">
        <v>1</v>
      </c>
      <c r="B1846" s="39" t="s">
        <v>2662</v>
      </c>
      <c r="C1846" s="48" t="s">
        <v>1968</v>
      </c>
      <c r="D1846" s="39" t="s">
        <v>432</v>
      </c>
      <c r="E1846" s="87">
        <v>45960</v>
      </c>
    </row>
    <row r="1847" spans="1:5" x14ac:dyDescent="0.35">
      <c r="A1847">
        <v>1</v>
      </c>
      <c r="B1847" s="39" t="s">
        <v>2635</v>
      </c>
      <c r="C1847" s="71" t="s">
        <v>1976</v>
      </c>
      <c r="D1847" s="39" t="s">
        <v>0</v>
      </c>
      <c r="E1847" s="87">
        <v>45981</v>
      </c>
    </row>
    <row r="1848" spans="1:5" x14ac:dyDescent="0.35">
      <c r="A1848">
        <v>1</v>
      </c>
      <c r="B1848" s="39" t="s">
        <v>2655</v>
      </c>
      <c r="C1848" s="71" t="s">
        <v>1976</v>
      </c>
      <c r="D1848" s="39" t="s">
        <v>0</v>
      </c>
      <c r="E1848" s="87">
        <v>45981</v>
      </c>
    </row>
    <row r="1849" spans="1:5" x14ac:dyDescent="0.35">
      <c r="A1849">
        <v>1</v>
      </c>
      <c r="B1849" s="39" t="s">
        <v>2660</v>
      </c>
      <c r="C1849" s="71" t="s">
        <v>1976</v>
      </c>
      <c r="D1849" s="39" t="s">
        <v>0</v>
      </c>
      <c r="E1849" s="87">
        <v>45981</v>
      </c>
    </row>
    <row r="1850" spans="1:5" x14ac:dyDescent="0.35">
      <c r="A1850">
        <v>1</v>
      </c>
      <c r="B1850" s="39" t="s">
        <v>2635</v>
      </c>
      <c r="C1850" s="71" t="s">
        <v>2666</v>
      </c>
      <c r="D1850" s="39" t="s">
        <v>2664</v>
      </c>
      <c r="E1850" s="87">
        <v>45995</v>
      </c>
    </row>
    <row r="1851" spans="1:5" x14ac:dyDescent="0.35">
      <c r="A1851">
        <v>1</v>
      </c>
      <c r="B1851" s="39" t="s">
        <v>2655</v>
      </c>
      <c r="C1851" s="71" t="s">
        <v>2666</v>
      </c>
      <c r="D1851" s="39" t="s">
        <v>2664</v>
      </c>
      <c r="E1851" s="87">
        <v>45995</v>
      </c>
    </row>
    <row r="1852" spans="1:5" x14ac:dyDescent="0.35">
      <c r="A1852">
        <v>1</v>
      </c>
      <c r="B1852" s="39" t="s">
        <v>2668</v>
      </c>
      <c r="C1852" s="71" t="s">
        <v>1970</v>
      </c>
      <c r="D1852" s="39" t="s">
        <v>2664</v>
      </c>
      <c r="E1852" s="87">
        <v>45995</v>
      </c>
    </row>
    <row r="1853" spans="1:5" x14ac:dyDescent="0.35">
      <c r="A1853">
        <v>1</v>
      </c>
      <c r="B1853" s="39" t="s">
        <v>2662</v>
      </c>
      <c r="C1853" s="71" t="s">
        <v>1975</v>
      </c>
      <c r="D1853" s="39" t="s">
        <v>2664</v>
      </c>
      <c r="E1853" s="87">
        <v>45995</v>
      </c>
    </row>
    <row r="1854" spans="1:5" x14ac:dyDescent="0.35">
      <c r="A1854">
        <v>1</v>
      </c>
      <c r="B1854" s="39" t="s">
        <v>2601</v>
      </c>
      <c r="C1854" s="71" t="s">
        <v>1971</v>
      </c>
      <c r="D1854" s="39" t="s">
        <v>2670</v>
      </c>
      <c r="E1854" s="87">
        <v>46064</v>
      </c>
    </row>
    <row r="1855" spans="1:5" x14ac:dyDescent="0.35">
      <c r="A1855">
        <v>1</v>
      </c>
      <c r="B1855" s="39" t="s">
        <v>501</v>
      </c>
      <c r="C1855" s="71" t="s">
        <v>1972</v>
      </c>
      <c r="D1855" s="39" t="s">
        <v>2670</v>
      </c>
      <c r="E1855" s="87">
        <v>46064</v>
      </c>
    </row>
    <row r="1856" spans="1:5" x14ac:dyDescent="0.35">
      <c r="A1856">
        <v>1</v>
      </c>
      <c r="B1856" s="39" t="s">
        <v>500</v>
      </c>
      <c r="C1856" s="71" t="s">
        <v>1973</v>
      </c>
      <c r="D1856" s="39" t="s">
        <v>2670</v>
      </c>
      <c r="E1856" s="87">
        <v>46064</v>
      </c>
    </row>
    <row r="1857" spans="1:5" x14ac:dyDescent="0.35">
      <c r="A1857">
        <v>1</v>
      </c>
      <c r="B1857" s="130" t="s">
        <v>2491</v>
      </c>
      <c r="C1857" s="71" t="s">
        <v>1970</v>
      </c>
      <c r="D1857" s="39" t="s">
        <v>2684</v>
      </c>
      <c r="E1857" s="87">
        <v>46100</v>
      </c>
    </row>
    <row r="1858" spans="1:5" x14ac:dyDescent="0.35">
      <c r="A1858">
        <v>1</v>
      </c>
      <c r="B1858" s="219" t="s">
        <v>2632</v>
      </c>
      <c r="C1858" s="71" t="s">
        <v>1971</v>
      </c>
      <c r="D1858" s="39" t="s">
        <v>2684</v>
      </c>
      <c r="E1858" s="87">
        <v>46100</v>
      </c>
    </row>
    <row r="1859" spans="1:5" x14ac:dyDescent="0.35">
      <c r="A1859">
        <v>1</v>
      </c>
      <c r="B1859" s="220" t="s">
        <v>2644</v>
      </c>
      <c r="C1859" s="71" t="s">
        <v>1970</v>
      </c>
      <c r="D1859" s="39" t="s">
        <v>2684</v>
      </c>
      <c r="E1859" s="87">
        <v>46100</v>
      </c>
    </row>
    <row r="1860" spans="1:5" x14ac:dyDescent="0.35">
      <c r="A1860">
        <v>1</v>
      </c>
      <c r="B1860" s="63" t="s">
        <v>519</v>
      </c>
      <c r="C1860" s="71" t="s">
        <v>1972</v>
      </c>
      <c r="D1860" s="39" t="s">
        <v>2684</v>
      </c>
      <c r="E1860" s="87">
        <v>46100</v>
      </c>
    </row>
    <row r="1861" spans="1:5" x14ac:dyDescent="0.35">
      <c r="A1861">
        <v>1</v>
      </c>
      <c r="B1861" s="221" t="s">
        <v>494</v>
      </c>
      <c r="C1861" s="71" t="s">
        <v>1973</v>
      </c>
      <c r="D1861" s="39" t="s">
        <v>2684</v>
      </c>
      <c r="E1861" s="87">
        <v>46100</v>
      </c>
    </row>
    <row r="1862" spans="1:5" x14ac:dyDescent="0.35">
      <c r="A1862">
        <v>1</v>
      </c>
      <c r="B1862" s="39" t="s">
        <v>2680</v>
      </c>
      <c r="C1862" s="71" t="s">
        <v>1970</v>
      </c>
      <c r="D1862" s="39" t="s">
        <v>2684</v>
      </c>
      <c r="E1862" s="87">
        <v>46100</v>
      </c>
    </row>
    <row r="1863" spans="1:5" x14ac:dyDescent="0.35">
      <c r="A1863">
        <v>1</v>
      </c>
      <c r="B1863" s="39" t="s">
        <v>2681</v>
      </c>
      <c r="C1863" s="71" t="s">
        <v>1968</v>
      </c>
      <c r="D1863" s="39" t="s">
        <v>2684</v>
      </c>
      <c r="E1863" s="87">
        <v>46100</v>
      </c>
    </row>
    <row r="1864" spans="1:5" x14ac:dyDescent="0.35">
      <c r="A1864">
        <v>1</v>
      </c>
      <c r="B1864" s="39" t="s">
        <v>2689</v>
      </c>
      <c r="C1864" s="71" t="s">
        <v>1968</v>
      </c>
      <c r="D1864" s="39" t="s">
        <v>2684</v>
      </c>
      <c r="E1864" s="87">
        <v>46100</v>
      </c>
    </row>
    <row r="1865" spans="1:5" x14ac:dyDescent="0.35">
      <c r="A1865">
        <v>1</v>
      </c>
      <c r="B1865" s="39" t="s">
        <v>2653</v>
      </c>
      <c r="C1865" s="71" t="s">
        <v>1976</v>
      </c>
      <c r="D1865" s="39" t="s">
        <v>2684</v>
      </c>
      <c r="E1865" s="87">
        <v>46100</v>
      </c>
    </row>
    <row r="1866" spans="1:5" x14ac:dyDescent="0.35">
      <c r="A1866">
        <v>1</v>
      </c>
      <c r="B1866" s="39" t="s">
        <v>2695</v>
      </c>
      <c r="C1866" s="71" t="s">
        <v>1968</v>
      </c>
      <c r="D1866" s="39" t="s">
        <v>2684</v>
      </c>
      <c r="E1866" s="87">
        <v>46100</v>
      </c>
    </row>
    <row r="1867" spans="1:5" x14ac:dyDescent="0.35">
      <c r="A1867">
        <v>1</v>
      </c>
      <c r="B1867" s="39" t="s">
        <v>2700</v>
      </c>
      <c r="C1867" s="71" t="s">
        <v>1968</v>
      </c>
      <c r="D1867" s="39" t="s">
        <v>2699</v>
      </c>
      <c r="E1867" s="87">
        <v>46135</v>
      </c>
    </row>
    <row r="1868" spans="1:5" x14ac:dyDescent="0.35">
      <c r="A1868">
        <v>1</v>
      </c>
      <c r="B1868" s="39" t="s">
        <v>2628</v>
      </c>
      <c r="C1868" s="71" t="s">
        <v>1971</v>
      </c>
      <c r="D1868" s="39" t="s">
        <v>2701</v>
      </c>
      <c r="E1868" s="87">
        <v>46163</v>
      </c>
    </row>
    <row r="1869" spans="1:5" x14ac:dyDescent="0.35">
      <c r="A1869">
        <v>1</v>
      </c>
      <c r="B1869" s="39" t="s">
        <v>2681</v>
      </c>
      <c r="C1869" s="71" t="s">
        <v>1976</v>
      </c>
      <c r="D1869" s="39" t="s">
        <v>2701</v>
      </c>
      <c r="E1869" s="87">
        <v>46163</v>
      </c>
    </row>
  </sheetData>
  <autoFilter ref="A28:E1746" xr:uid="{00000000-0001-0000-0700-000000000000}">
    <filterColumn colId="2">
      <filters>
        <filter val="New KEL"/>
        <filter val="Reopened KEL"/>
        <filter val="Resolved KEL"/>
        <filter val="Revised Fix Version"/>
        <filter val="Revised KEL"/>
      </filters>
    </filterColumn>
  </autoFilter>
  <phoneticPr fontId="31" type="noConversion"/>
  <pageMargins left="0.7" right="0.7" top="0.75" bottom="0.75" header="0.3" footer="0.3"/>
  <pageSetup paperSize="9" orientation="portrait" horizontalDpi="90" verticalDpi="90" r:id="rId2"/>
  <headerFooter>
    <oddFooter>&amp;C&amp;1#&amp;"Calibri"&amp;10&amp;K000000OFFICIAL</oddFooter>
  </headerFooter>
  <ignoredErrors>
    <ignoredError sqref="D696 D668:D695 D697:D714 D665:D667 D715:D729 D730:D731 D732 D733:D739 D740:D745"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ee8eb0f-360c-4f1c-b563-d344757e98da">
      <UserInfo>
        <DisplayName/>
        <AccountId xsi:nil="true"/>
        <AccountType/>
      </UserInfo>
    </SharedWithUsers>
    <TaxCatchAll xmlns="cee8eb0f-360c-4f1c-b563-d344757e98da" xsi:nil="true"/>
    <lcf76f155ced4ddcb4097134ff3c332f xmlns="535cbac5-1af9-4cd4-9513-0afcd68db73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425C439D45257489CE2CD6F3B73DCDD" ma:contentTypeVersion="16" ma:contentTypeDescription="Create a new document." ma:contentTypeScope="" ma:versionID="d369105a1433f3c5a85ef4f4758ce1c8">
  <xsd:schema xmlns:xsd="http://www.w3.org/2001/XMLSchema" xmlns:xs="http://www.w3.org/2001/XMLSchema" xmlns:p="http://schemas.microsoft.com/office/2006/metadata/properties" xmlns:ns2="535cbac5-1af9-4cd4-9513-0afcd68db736" xmlns:ns3="cee8eb0f-360c-4f1c-b563-d344757e98da" targetNamespace="http://schemas.microsoft.com/office/2006/metadata/properties" ma:root="true" ma:fieldsID="b297335d2f3ed7b78dbd242c90910dfa" ns2:_="" ns3:_="">
    <xsd:import namespace="535cbac5-1af9-4cd4-9513-0afcd68db736"/>
    <xsd:import namespace="cee8eb0f-360c-4f1c-b563-d344757e98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5cbac5-1af9-4cd4-9513-0afcd68db7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a3ebb39f-d69b-4575-80f5-9912993956e5"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ee8eb0f-360c-4f1c-b563-d344757e98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fc029272-d927-49c6-9535-27505dadd74a}" ma:internalName="TaxCatchAll" ma:showField="CatchAllData" ma:web="cee8eb0f-360c-4f1c-b563-d344757e98d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B98BEE1-97B0-4E26-8F46-3FAC09661213}">
  <ds:schemaRefs>
    <ds:schemaRef ds:uri="535cbac5-1af9-4cd4-9513-0afcd68db736"/>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cee8eb0f-360c-4f1c-b563-d344757e98da"/>
    <ds:schemaRef ds:uri="http://www.w3.org/XML/1998/namespace"/>
    <ds:schemaRef ds:uri="http://purl.org/dc/dcmitype/"/>
  </ds:schemaRefs>
</ds:datastoreItem>
</file>

<file path=customXml/itemProps2.xml><?xml version="1.0" encoding="utf-8"?>
<ds:datastoreItem xmlns:ds="http://schemas.openxmlformats.org/officeDocument/2006/customXml" ds:itemID="{45CE5303-61EB-4B0E-9E70-650A68F7C4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5cbac5-1af9-4cd4-9513-0afcd68db736"/>
    <ds:schemaRef ds:uri="cee8eb0f-360c-4f1c-b563-d344757e98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3DF598-93A0-46F9-A037-2D9002F96838}">
  <ds:schemaRefs>
    <ds:schemaRef ds:uri="http://schemas.microsoft.com/sharepoint/v3/contenttype/forms"/>
  </ds:schemaRefs>
</ds:datastoreItem>
</file>

<file path=docMetadata/LabelInfo.xml><?xml version="1.0" encoding="utf-8"?>
<clbl:labelList xmlns:clbl="http://schemas.microsoft.com/office/2020/mipLabelMetadata">
  <clbl:label id="{f9af038e-07b4-4369-a678-c835687cb272}" enabled="1" method="Standard" siteId="{ac52f73c-fd1a-4a9a-8e7a-4a248f3139e1}"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Landing Page</vt:lpstr>
      <vt:lpstr>1. Changelog</vt:lpstr>
      <vt:lpstr>2. External_20260319</vt:lpstr>
      <vt:lpstr>3. Change Requests</vt:lpstr>
      <vt:lpstr>4. Resolved &amp; Closed KELs &amp; CRs</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2024-05-30T09:18:19Z</dcterms:created>
  <dcterms:modified xsi:type="dcterms:W3CDTF">2026-05-18T14:16:42Z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MSIP_Label_f9af038e-07b4-4369-a678-c835687cb272_Enabled">
    <vt:lpwstr>true</vt:lpwstr>
  </property>
  <property fmtid="{D5CDD505-2E9C-101B-9397-08002B2CF9AE}" pid="4" name="MSIP_Label_f9af038e-07b4-4369-a678-c835687cb272_SetDate">
    <vt:lpwstr>2024-06-13T09:02:33Z</vt:lpwstr>
  </property>
  <property fmtid="{D5CDD505-2E9C-101B-9397-08002B2CF9AE}" pid="5" name="MSIP_Label_f9af038e-07b4-4369-a678-c835687cb272_Method">
    <vt:lpwstr>Standard</vt:lpwstr>
  </property>
  <property fmtid="{D5CDD505-2E9C-101B-9397-08002B2CF9AE}" pid="6" name="MSIP_Label_f9af038e-07b4-4369-a678-c835687cb272_Name">
    <vt:lpwstr>OFFICIAL</vt:lpwstr>
  </property>
  <property fmtid="{D5CDD505-2E9C-101B-9397-08002B2CF9AE}" pid="7" name="MSIP_Label_f9af038e-07b4-4369-a678-c835687cb272_SiteId">
    <vt:lpwstr>ac52f73c-fd1a-4a9a-8e7a-4a248f3139e1</vt:lpwstr>
  </property>
  <property fmtid="{D5CDD505-2E9C-101B-9397-08002B2CF9AE}" pid="8" name="MSIP_Label_f9af038e-07b4-4369-a678-c835687cb272_ActionId">
    <vt:lpwstr>f9c0a5c2-0cb2-44ae-b51d-6e5626e8744d</vt:lpwstr>
  </property>
  <property fmtid="{D5CDD505-2E9C-101B-9397-08002B2CF9AE}" pid="9" name="MSIP_Label_f9af038e-07b4-4369-a678-c835687cb272_ContentBits">
    <vt:lpwstr>2</vt:lpwstr>
  </property>
  <property fmtid="{D5CDD505-2E9C-101B-9397-08002B2CF9AE}" pid="10" name="ContentTypeId">
    <vt:lpwstr>0x010100D425C439D45257489CE2CD6F3B73DCDD</vt:lpwstr>
  </property>
</Properties>
</file>